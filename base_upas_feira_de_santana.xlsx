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ia-me" sheetId="1" state="visible" r:id="rId3"/>
    <sheet name="Dicionario_Dados" sheetId="2" state="visible" r:id="rId4"/>
    <sheet name="dim_UPA" sheetId="3" state="visible" r:id="rId5"/>
    <sheet name="dim_Fonte_Recurso" sheetId="4" state="visible" r:id="rId6"/>
    <sheet name="dim_Bloco_Financiamento" sheetId="5" state="visible" r:id="rId7"/>
    <sheet name="dim_Categoria_Despesa" sheetId="6" state="visible" r:id="rId8"/>
    <sheet name="dim_Tempo" sheetId="7" state="visible" r:id="rId9"/>
    <sheet name="Fato_Repasses" sheetId="8" state="visible" r:id="rId10"/>
    <sheet name="Indicadores_Dashboard" sheetId="9" state="visible" r:id="rId11"/>
    <sheet name="Fontes_Oficiais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<sst xmlns="http://schemas.openxmlformats.org/spreadsheetml/2006/main" count="670" uniqueCount="372">
  <si>
    <t xml:space="preserve">Base de Dados - Recursos Repassados às UPAs de Feira de Santana/BA</t>
  </si>
  <si>
    <t xml:space="preserve">Municipal | Estadual | Federal  —  Série histórica 2021-2026</t>
  </si>
  <si>
    <t xml:space="preserve">OBJETIVO</t>
  </si>
  <si>
    <t xml:space="preserve">Consolidar, em uma única base relacional, os recursos municipais, estaduais e federais repassados para a gestão das Unidades de Pronto Atendimento (UPA) de Feira de Santana/BA, permitindo montar dashboards e, futuramente, alimentar um aplicativo/API de acompanhamento orçamentário e financeiro.</t>
  </si>
  <si>
    <t xml:space="preserve">COMO ESTA PASTA DE TRABALHO ESTÁ ORGANIZADA (modelo estrela)</t>
  </si>
  <si>
    <t xml:space="preserve">• dim_UPA — cadastro das unidades (gestão municipal, estadual e/ou OSS).</t>
  </si>
  <si>
    <t xml:space="preserve">• dim_Fonte_Recurso — esfera de governo, órgão repassador e programa/instrumento.</t>
  </si>
  <si>
    <t xml:space="preserve">• dim_Bloco_Financiamento — blocos de financiamento do SUS (Custeio, Investimento, Emenda Parlamentar etc.).</t>
  </si>
  <si>
    <t xml:space="preserve">• dim_Categoria_Despesa — natureza do gasto (pessoal, custeio, investimento, obras...).</t>
  </si>
  <si>
    <t xml:space="preserve">• dim_Tempo — calendário ano/mês/trimestre/semestre para facilitar filtros em dashboards.</t>
  </si>
  <si>
    <t xml:space="preserve">• Fato_Repasses — tabela fato (uma linha por UPA + Fonte + Bloco + Mês). É AQUI que os valores reais entram.</t>
  </si>
  <si>
    <t xml:space="preserve">• Indicadores_Dashboard — KPIs calculados automaticamente a partir da tabela fato (fórmulas SUMIFS).</t>
  </si>
  <si>
    <t xml:space="preserve">• Fontes_Oficiais — onde buscar os números reais para preencher a base.</t>
  </si>
  <si>
    <t xml:space="preserve">• Dicionario_Dados — descrição de cada campo, tipo e regra de preenchimento.</t>
  </si>
  <si>
    <t xml:space="preserve">O QUE JÁ FOI PREENCHIDO COM DADOS REAIS NESTA VERSÃO</t>
  </si>
  <si>
    <t xml:space="preserve">Na aba Fato_Repasses, as linhas com fundo cinza/itálico no topo da tabela já trazem valores REAIS localizados em</t>
  </si>
  <si>
    <t xml:space="preserve">fontes públicas: 7 competências (ago/2022 a fev/2023) do repasse estadual à UPA Feira de Santana, extraídas de</t>
  </si>
  <si>
    <t xml:space="preserve">razões contábeis publicadas pela OSS gestora (upadefeira.ints.org.br/transparencia); e 1 linha com o valor</t>
  </si>
  <si>
    <t xml:space="preserve">CONTRATUAL mensal do contrato de gestão municipal da UPA Queimadinha (Contrato nº 437/2024 c/ INSAÚDE), obtido em</t>
  </si>
  <si>
    <t xml:space="preserve">reportagens sobre publicação no Diário Oficial do Município. Isso NÃO é uma série completa de 5 anos: os portais</t>
  </si>
  <si>
    <t xml:space="preserve">oficiais (FNS, SIOPS, Portal de Transparência) disponibilizam os dados apenas em sistemas de consulta interativa,</t>
  </si>
  <si>
    <t xml:space="preserve">sem exportação tabulada e indexada por mecanismos de busca — por isso a maior parte da tabela permanece como</t>
  </si>
  <si>
    <t xml:space="preserve">modelo para preenchimento manual pela equipe, com o passo a passo abaixo.</t>
  </si>
  <si>
    <t xml:space="preserve">COMO PREENCHER O RESTANTE</t>
  </si>
  <si>
    <t xml:space="preserve">1. Confirme/complete o cadastro das UPAs em dim_UPA (há 3 unidades cadastradas no CNES em Feira de Santana;</t>
  </si>
  <si>
    <t xml:space="preserve">   duas foram identificadas nesta pesquisa — confirme a terceira e os dados cadastrais junto ao CNES/CNES-DATASUS).</t>
  </si>
  <si>
    <t xml:space="preserve">2. Em Fato_Repasses, as células com fundo amarelo são as únicas que devem ser digitadas manualmente.</t>
  </si>
  <si>
    <t xml:space="preserve">   Use as listas suspensas (UPA, Fonte, Bloco, Categoria, Instrumento) para manter a base consistente.</t>
  </si>
  <si>
    <t xml:space="preserve">3. Uma linha = um repasse/lançamento em um mês/UPA/fonte/bloco. Não agregue meses diferentes na mesma linha.</t>
  </si>
  <si>
    <t xml:space="preserve">4. As colunas de % de execução e os quadros de Indicadores_Dashboard recalculam sozinhos.</t>
  </si>
  <si>
    <t xml:space="preserve">5. Sempre preencha 'Fonte_Dado' com o link/documento oficial de onde o número veio — essencial para auditoria.</t>
  </si>
  <si>
    <t xml:space="preserve">ARQUITETURA PARA O FUTURO APLICATIVO</t>
  </si>
  <si>
    <t xml:space="preserve">Veja o documento 'Arquitetura de Dados e Aplicativo' (.docx) entregue junto com esta planilha: ele traz o</t>
  </si>
  <si>
    <t xml:space="preserve">modelo entidade-relacionamento, o desenho de banco de dados relacional, a proposta de API e de camadas do</t>
  </si>
  <si>
    <t xml:space="preserve">aplicativo (coleta → banco de dados → API → dashboard), pronta para orientar o desenvolvimento técnico.</t>
  </si>
  <si>
    <t xml:space="preserve">IMPORTANTE</t>
  </si>
  <si>
    <t xml:space="preserve">Esta pasta de trabalho é entregue como MODELO/ARQUITETURA, com os cadastros de dimensão (UPAs, fontes,</t>
  </si>
  <si>
    <t xml:space="preserve">blocos) já preenchidos com informações públicas localizadas nesta pesquisa. Os valores financeiros mês a mês</t>
  </si>
  <si>
    <t xml:space="preserve">(Fato_Repasses) precisam ser inseridos pela equipe gestora a partir dos sistemas oficiais listados em</t>
  </si>
  <si>
    <t xml:space="preserve">'Fontes_Oficiais', pois não há uma base pública única, já tabulada e de download direto, com o corte exato</t>
  </si>
  <si>
    <t xml:space="preserve">'recursos repassados às UPAs de Feira de Santana, por esfera, mês a mês, últimos 5 anos'.</t>
  </si>
  <si>
    <t xml:space="preserve">Dicionário de Dados</t>
  </si>
  <si>
    <t xml:space="preserve">Tabela</t>
  </si>
  <si>
    <t xml:space="preserve">Campo</t>
  </si>
  <si>
    <t xml:space="preserve">Tipo</t>
  </si>
  <si>
    <t xml:space="preserve">Descrição / Regra</t>
  </si>
  <si>
    <t xml:space="preserve">Domínio (valores aceitos)</t>
  </si>
  <si>
    <t xml:space="preserve">dim_UPA</t>
  </si>
  <si>
    <t xml:space="preserve">id_UPA</t>
  </si>
  <si>
    <t xml:space="preserve">Texto (PK)</t>
  </si>
  <si>
    <t xml:space="preserve">Identificador único da unidade</t>
  </si>
  <si>
    <t xml:space="preserve">UPA-01, UPA-02...</t>
  </si>
  <si>
    <t xml:space="preserve">Nome_UPA</t>
  </si>
  <si>
    <t xml:space="preserve">Texto</t>
  </si>
  <si>
    <t xml:space="preserve">Nome oficial da UPA</t>
  </si>
  <si>
    <t xml:space="preserve">-</t>
  </si>
  <si>
    <t xml:space="preserve">Tipo_Gestao</t>
  </si>
  <si>
    <t xml:space="preserve">Ente responsável pela gestão direta</t>
  </si>
  <si>
    <t xml:space="preserve">Municipal / Estadual (OSS) / Consórcio</t>
  </si>
  <si>
    <t xml:space="preserve">Porte</t>
  </si>
  <si>
    <t xml:space="preserve">Porte da unidade conforme portaria MS</t>
  </si>
  <si>
    <t xml:space="preserve">Porte I / II / III</t>
  </si>
  <si>
    <t xml:space="preserve">dim_Fonte_Recurso</t>
  </si>
  <si>
    <t xml:space="preserve">id_Fonte</t>
  </si>
  <si>
    <t xml:space="preserve">Identificador da fonte de recurso</t>
  </si>
  <si>
    <t xml:space="preserve">FR-01, FR-02...</t>
  </si>
  <si>
    <t xml:space="preserve">Esfera</t>
  </si>
  <si>
    <t xml:space="preserve">Nível federativo de origem do recurso</t>
  </si>
  <si>
    <t xml:space="preserve">Municipal / Estadual / Federal</t>
  </si>
  <si>
    <t xml:space="preserve">Orgao_Repassador</t>
  </si>
  <si>
    <t xml:space="preserve">Órgão/fundo que efetua o repasse</t>
  </si>
  <si>
    <t xml:space="preserve">dim_Bloco_Financiamento</t>
  </si>
  <si>
    <t xml:space="preserve">id_Bloco</t>
  </si>
  <si>
    <t xml:space="preserve">Identificador do bloco de financiamento SUS</t>
  </si>
  <si>
    <t xml:space="preserve">BF-01, BF-02...</t>
  </si>
  <si>
    <t xml:space="preserve">dim_Categoria_Despesa</t>
  </si>
  <si>
    <t xml:space="preserve">id_Categoria</t>
  </si>
  <si>
    <t xml:space="preserve">Identificador da natureza de despesa</t>
  </si>
  <si>
    <t xml:space="preserve">CD-01, CD-02...</t>
  </si>
  <si>
    <t xml:space="preserve">dim_Tempo</t>
  </si>
  <si>
    <t xml:space="preserve">id_Tempo</t>
  </si>
  <si>
    <t xml:space="preserve">Chave ano-mês</t>
  </si>
  <si>
    <t xml:space="preserve">AAAA-MM</t>
  </si>
  <si>
    <t xml:space="preserve">Fato_Repasses</t>
  </si>
  <si>
    <t xml:space="preserve">id_Lancamento</t>
  </si>
  <si>
    <t xml:space="preserve">Número (PK)</t>
  </si>
  <si>
    <t xml:space="preserve">Sequencial único do lançamento</t>
  </si>
  <si>
    <t xml:space="preserve">Autoincremento</t>
  </si>
  <si>
    <t xml:space="preserve">Ano / Mes</t>
  </si>
  <si>
    <t xml:space="preserve">Número</t>
  </si>
  <si>
    <t xml:space="preserve">Competência do repasse</t>
  </si>
  <si>
    <t xml:space="preserve">2021-2026 / 1-12</t>
  </si>
  <si>
    <t xml:space="preserve">id_UPA / id_Fonte / id_Bloco / id_Categoria</t>
  </si>
  <si>
    <t xml:space="preserve">Texto (FK)</t>
  </si>
  <si>
    <t xml:space="preserve">Chaves estrangeiras para as dimensões</t>
  </si>
  <si>
    <t xml:space="preserve">Selecionar via lista suspensa</t>
  </si>
  <si>
    <t xml:space="preserve">Instrumento</t>
  </si>
  <si>
    <t xml:space="preserve">Mecanismo jurídico do repasse</t>
  </si>
  <si>
    <t xml:space="preserve">Fundo a Fundo / Contrato de Gestão / Convênio / Emenda Parlamentar / Recurso Próprio</t>
  </si>
  <si>
    <t xml:space="preserve">Numero_Documento</t>
  </si>
  <si>
    <t xml:space="preserve">Nº da portaria, DOU, empenho ou ofício</t>
  </si>
  <si>
    <t xml:space="preserve">Ex.: Portaria GM/MS nº 0000/2026</t>
  </si>
  <si>
    <t xml:space="preserve">Valor_Previsto / Repassado / Empenhado / Liquidado / Pago</t>
  </si>
  <si>
    <t xml:space="preserve">Moeda (R$)</t>
  </si>
  <si>
    <t xml:space="preserve">Etapas do ciclo orçamentário-financeiro</t>
  </si>
  <si>
    <t xml:space="preserve">≥ 0</t>
  </si>
  <si>
    <t xml:space="preserve">Percentual_Execucao</t>
  </si>
  <si>
    <t xml:space="preserve">% (fórmula)</t>
  </si>
  <si>
    <t xml:space="preserve">Pago / Repassado</t>
  </si>
  <si>
    <t xml:space="preserve">Calculado automaticamente</t>
  </si>
  <si>
    <t xml:space="preserve">Fonte_Dado</t>
  </si>
  <si>
    <t xml:space="preserve">Texto/URL</t>
  </si>
  <si>
    <t xml:space="preserve">Referência/documento oficial de onde o valor foi extraído</t>
  </si>
  <si>
    <t xml:space="preserve">Link ou identificação do documento</t>
  </si>
  <si>
    <t xml:space="preserve">dim_UPA — Cadastro das Unidades de Pronto Atendimento</t>
  </si>
  <si>
    <t xml:space="preserve">Complete/confirme os dados junto ao CNES-DATASUS e à Secretaria Municipal de Saúde</t>
  </si>
  <si>
    <t xml:space="preserve">CNES/CNPJ</t>
  </si>
  <si>
    <t xml:space="preserve">Endereço</t>
  </si>
  <si>
    <t xml:space="preserve">Ano_Inauguração</t>
  </si>
  <si>
    <t xml:space="preserve">Leitos</t>
  </si>
  <si>
    <t xml:space="preserve">Telefone</t>
  </si>
  <si>
    <t xml:space="preserve">Observações / Fonte</t>
  </si>
  <si>
    <t xml:space="preserve">UPA-01</t>
  </si>
  <si>
    <t xml:space="preserve">UPA Feira de Santana (UPA 24h)</t>
  </si>
  <si>
    <t xml:space="preserve">14.284.483/0002-99 (CNPJ da unidade)</t>
  </si>
  <si>
    <t xml:space="preserve">Estadual — Contrato de Gestão nº 052/2018 com OSS. Gestora até ~2023: INTS (Instituto Nacional de Tecnologia e Saúde). Gestora identificada em registros mais recentes (2024-2025): S3 Gestão em Saúde / Associação de Proteção à Maternidade e Infância Ubaíra, CNPJ 14.284.483/0001-08 — confirmar data exata da transição de OSS junto à SESAB.</t>
  </si>
  <si>
    <t xml:space="preserve">Av. Eduardo Fróes da Mota, s/n, 35º BI, Feira de Santana/BA</t>
  </si>
  <si>
    <t xml:space="preserve">Porte III</t>
  </si>
  <si>
    <t xml:space="preserve">(75) 3471-3705</t>
  </si>
  <si>
    <t xml:space="preserve">Fonte: SESAB (saude.ba.gov.br); razões contábeis publicadas em upadefeira.ints.org.br/transparencia; cadastro atual em s3saude.org.br. Confirmar CNES junto ao CNES-DATASUS.</t>
  </si>
  <si>
    <t xml:space="preserve">UPA-02</t>
  </si>
  <si>
    <t xml:space="preserve">UPA Elisabete Dias Marques (UPA Queimadinha)</t>
  </si>
  <si>
    <t xml:space="preserve">A confirmar no CNES-DATASUS</t>
  </si>
  <si>
    <t xml:space="preserve">Municipal — Secretaria Municipal de Saúde (SMS), gestão por Contrato de Gestão com a OSS INSAÚDE (Instituto Nacional de Pesquisa e Gestão em Saúde) desde 02/05/2018. Contrato vigente: nº 437/2024 (origem: Chamada Pública nº 3-2023-CHP), prorrogado pelo Termo Aditivo nº 245-2026-11AC até 18/06/2027.</t>
  </si>
  <si>
    <t xml:space="preserve">Bairro Queimadinha, Feira de Santana/BA</t>
  </si>
  <si>
    <t xml:space="preserve">Porte II</t>
  </si>
  <si>
    <t xml:space="preserve">Capacidade: até 4.500 atendimentos/mês (1.700 m²)</t>
  </si>
  <si>
    <t xml:space="preserve">A confirmar</t>
  </si>
  <si>
    <t xml:space="preserve">Fonte: Jornal Grande Bahia (dez/2024), Bahia na Política e Blog do Velame (jun/2026) — reportagens sobre o contrato de gestão publicado no Diário Oficial do Município; Prefeitura de Feira de Santana (matéria institucional).</t>
  </si>
  <si>
    <t xml:space="preserve">UPA-03</t>
  </si>
  <si>
    <t xml:space="preserve">3ª unidade cadastrada no CNES (nome a confirmar)</t>
  </si>
  <si>
    <t xml:space="preserve">O CNES-DATASUS/PerguntaSaúde indica 3 UPAs cadastradas em Feira de Santana; esta 3ª unidade deve ser identificada e cadastrada pela equipe (ex.: unidade de referência regional adicional, se houver).</t>
  </si>
  <si>
    <t xml:space="preserve">dim_Fonte_Recurso — Esferas e órgãos repassadores</t>
  </si>
  <si>
    <t xml:space="preserve">Programa / Instrumento típico</t>
  </si>
  <si>
    <t xml:space="preserve">Observações</t>
  </si>
  <si>
    <t xml:space="preserve">FR-01</t>
  </si>
  <si>
    <t xml:space="preserve">Federal</t>
  </si>
  <si>
    <t xml:space="preserve">Ministério da Saúde / Fundo Nacional de Saúde (FNS)</t>
  </si>
  <si>
    <t xml:space="preserve">Transferência Fundo a Fundo (Bloco de Custeio e de Investimento) / InvestSUS</t>
  </si>
  <si>
    <t xml:space="preserve">Consultar valores em painelms.saude.gov.br (Consulta Gerencial FNS) e antigo.saude.gov.br/repasses-financeiros</t>
  </si>
  <si>
    <t xml:space="preserve">FR-02</t>
  </si>
  <si>
    <t xml:space="preserve">Emendas Parlamentares (individuais/bancada) via FNS</t>
  </si>
  <si>
    <t xml:space="preserve">Transferência especial ou Fundo a Fundo, processada no InvestSUS</t>
  </si>
  <si>
    <t xml:space="preserve">Publicadas em Portarias do DOU; registrar nº da portaria em Numero_Documento</t>
  </si>
  <si>
    <t xml:space="preserve">FR-03</t>
  </si>
  <si>
    <t xml:space="preserve">Estadual</t>
  </si>
  <si>
    <t xml:space="preserve">Governo do Estado da Bahia / Secretaria da Saúde (SESAB) / Fundo Estadual de Saúde</t>
  </si>
  <si>
    <t xml:space="preserve">Contrato de Gestão com Organização Social de Saúde (ex.: INTS) para a UPA estadual</t>
  </si>
  <si>
    <t xml:space="preserve">Demonstrativos financeiros da OSS costumam ser publicados no site da própria unidade/OSS</t>
  </si>
  <si>
    <t xml:space="preserve">FR-04</t>
  </si>
  <si>
    <t xml:space="preserve">Municipal</t>
  </si>
  <si>
    <t xml:space="preserve">Prefeitura Municipal de Feira de Santana / Fundo Municipal de Saúde</t>
  </si>
  <si>
    <t xml:space="preserve">Recursos próprios do Tesouro Municipal (contrapartida e custeio)</t>
  </si>
  <si>
    <t xml:space="preserve">Consultar Portal da Transparência do Município e LOA/LDO/PPA da Secretaria de Saúde</t>
  </si>
  <si>
    <t xml:space="preserve">dim_Bloco_Financiamento — Blocos de financiamento do SUS</t>
  </si>
  <si>
    <t xml:space="preserve">Nome_Bloco</t>
  </si>
  <si>
    <t xml:space="preserve">Descrição</t>
  </si>
  <si>
    <t xml:space="preserve">BF-01</t>
  </si>
  <si>
    <t xml:space="preserve">Bloco de Manutenção das Ações e Serviços Públicos de Saúde (Custeio)</t>
  </si>
  <si>
    <t xml:space="preserve">Custeio corrente: pessoal terceirizado, medicamentos, materiais, manutenção — Portaria GM/MS nº 3.992/2017 e atualizações</t>
  </si>
  <si>
    <t xml:space="preserve">BF-02</t>
  </si>
  <si>
    <t xml:space="preserve">Bloco de Investimento na Rede de Serviços Públicos de Saúde</t>
  </si>
  <si>
    <t xml:space="preserve">Obras, reformas, equipamentos e aquisição de bens permanentes</t>
  </si>
  <si>
    <t xml:space="preserve">BF-03</t>
  </si>
  <si>
    <t xml:space="preserve">Emenda Parlamentar</t>
  </si>
  <si>
    <t xml:space="preserve">Recursos federais de emendas individuais/de bancada, processados via InvestSUS/FNS</t>
  </si>
  <si>
    <t xml:space="preserve">BF-04</t>
  </si>
  <si>
    <t xml:space="preserve">Contrato de Gestão (OSS)</t>
  </si>
  <si>
    <t xml:space="preserve">Repasse regular (estadual ou municipal) à Organização Social de Saúde que gere a unidade, mediante contrato de gestão</t>
  </si>
  <si>
    <t xml:space="preserve">BF-05</t>
  </si>
  <si>
    <t xml:space="preserve">Recursos Próprios (Tesouro Municipal)</t>
  </si>
  <si>
    <t xml:space="preserve">Contrapartida e custeio com recursos do orçamento próprio do município</t>
  </si>
  <si>
    <t xml:space="preserve">dim_Categoria_Despesa — Natureza do gasto</t>
  </si>
  <si>
    <t xml:space="preserve">Nome_Categoria</t>
  </si>
  <si>
    <t xml:space="preserve">Exemplos</t>
  </si>
  <si>
    <t xml:space="preserve">CD-01</t>
  </si>
  <si>
    <t xml:space="preserve">Pessoal e Encargos</t>
  </si>
  <si>
    <t xml:space="preserve">Equipe assistencial e administrativa, plantonistas, encargos sociais</t>
  </si>
  <si>
    <t xml:space="preserve">CD-02</t>
  </si>
  <si>
    <t xml:space="preserve">Custeio Operacional</t>
  </si>
  <si>
    <t xml:space="preserve">Medicamentos, materiais médico-hospitalares, insumos, exames</t>
  </si>
  <si>
    <t xml:space="preserve">CD-03</t>
  </si>
  <si>
    <t xml:space="preserve">Manutenção Predial e Equipamentos</t>
  </si>
  <si>
    <t xml:space="preserve">Manutenção corretiva/preventiva de estrutura e equipamentos</t>
  </si>
  <si>
    <t xml:space="preserve">CD-04</t>
  </si>
  <si>
    <t xml:space="preserve">Investimento / Aquisição de Equipamentos</t>
  </si>
  <si>
    <t xml:space="preserve">Compra de bens permanentes, equipamentos médicos</t>
  </si>
  <si>
    <t xml:space="preserve">CD-05</t>
  </si>
  <si>
    <t xml:space="preserve">Obras e Reformas</t>
  </si>
  <si>
    <t xml:space="preserve">Ampliação, reforma ou construção de unidade</t>
  </si>
  <si>
    <t xml:space="preserve">CD-06</t>
  </si>
  <si>
    <t xml:space="preserve">Serviços Terceirizados de Gestão</t>
  </si>
  <si>
    <t xml:space="preserve">Taxa de administração/gestão da OSS, quando aplicável</t>
  </si>
  <si>
    <t xml:space="preserve">dim_Tempo — Calendário (2021-2026)</t>
  </si>
  <si>
    <t xml:space="preserve">Ano</t>
  </si>
  <si>
    <t xml:space="preserve">Mes</t>
  </si>
  <si>
    <t xml:space="preserve">Nome_Mes</t>
  </si>
  <si>
    <t xml:space="preserve">Trimestre</t>
  </si>
  <si>
    <t xml:space="preserve">Semestre</t>
  </si>
  <si>
    <t xml:space="preserve">2021-01</t>
  </si>
  <si>
    <t xml:space="preserve">Janeiro</t>
  </si>
  <si>
    <t xml:space="preserve">T1</t>
  </si>
  <si>
    <t xml:space="preserve">S1</t>
  </si>
  <si>
    <t xml:space="preserve">2021-02</t>
  </si>
  <si>
    <t xml:space="preserve">Fevereiro</t>
  </si>
  <si>
    <t xml:space="preserve">2021-03</t>
  </si>
  <si>
    <t xml:space="preserve">Março</t>
  </si>
  <si>
    <t xml:space="preserve">2021-04</t>
  </si>
  <si>
    <t xml:space="preserve">Abril</t>
  </si>
  <si>
    <t xml:space="preserve">T2</t>
  </si>
  <si>
    <t xml:space="preserve">2021-05</t>
  </si>
  <si>
    <t xml:space="preserve">Maio</t>
  </si>
  <si>
    <t xml:space="preserve">2021-06</t>
  </si>
  <si>
    <t xml:space="preserve">Junho</t>
  </si>
  <si>
    <t xml:space="preserve">2021-07</t>
  </si>
  <si>
    <t xml:space="preserve">Julho</t>
  </si>
  <si>
    <t xml:space="preserve">T3</t>
  </si>
  <si>
    <t xml:space="preserve">S2</t>
  </si>
  <si>
    <t xml:space="preserve">2021-08</t>
  </si>
  <si>
    <t xml:space="preserve">Agosto</t>
  </si>
  <si>
    <t xml:space="preserve">2021-09</t>
  </si>
  <si>
    <t xml:space="preserve">Setembro</t>
  </si>
  <si>
    <t xml:space="preserve">2021-10</t>
  </si>
  <si>
    <t xml:space="preserve">Outubro</t>
  </si>
  <si>
    <t xml:space="preserve">T4</t>
  </si>
  <si>
    <t xml:space="preserve">2021-11</t>
  </si>
  <si>
    <t xml:space="preserve">Novembro</t>
  </si>
  <si>
    <t xml:space="preserve">2021-12</t>
  </si>
  <si>
    <t xml:space="preserve">Dezembro</t>
  </si>
  <si>
    <t xml:space="preserve">2022-01</t>
  </si>
  <si>
    <t xml:space="preserve">2022-02</t>
  </si>
  <si>
    <t xml:space="preserve">2022-03</t>
  </si>
  <si>
    <t xml:space="preserve">2022-04</t>
  </si>
  <si>
    <t xml:space="preserve">2022-05</t>
  </si>
  <si>
    <t xml:space="preserve">2022-06</t>
  </si>
  <si>
    <t xml:space="preserve">2022-07</t>
  </si>
  <si>
    <t xml:space="preserve">2022-08</t>
  </si>
  <si>
    <t xml:space="preserve">2022-09</t>
  </si>
  <si>
    <t xml:space="preserve">2022-10</t>
  </si>
  <si>
    <t xml:space="preserve">2022-11</t>
  </si>
  <si>
    <t xml:space="preserve">2022-12</t>
  </si>
  <si>
    <t xml:space="preserve">2023-01</t>
  </si>
  <si>
    <t xml:space="preserve">2023-02</t>
  </si>
  <si>
    <t xml:space="preserve">2023-03</t>
  </si>
  <si>
    <t xml:space="preserve">2023-04</t>
  </si>
  <si>
    <t xml:space="preserve">2023-05</t>
  </si>
  <si>
    <t xml:space="preserve">2023-06</t>
  </si>
  <si>
    <t xml:space="preserve">2023-07</t>
  </si>
  <si>
    <t xml:space="preserve">2023-08</t>
  </si>
  <si>
    <t xml:space="preserve">2023-09</t>
  </si>
  <si>
    <t xml:space="preserve">2023-10</t>
  </si>
  <si>
    <t xml:space="preserve">2023-11</t>
  </si>
  <si>
    <t xml:space="preserve">2023-12</t>
  </si>
  <si>
    <t xml:space="preserve">2024-01</t>
  </si>
  <si>
    <t xml:space="preserve">2024-02</t>
  </si>
  <si>
    <t xml:space="preserve">2024-03</t>
  </si>
  <si>
    <t xml:space="preserve">2024-04</t>
  </si>
  <si>
    <t xml:space="preserve">2024-05</t>
  </si>
  <si>
    <t xml:space="preserve">2024-06</t>
  </si>
  <si>
    <t xml:space="preserve">2024-07</t>
  </si>
  <si>
    <t xml:space="preserve">2024-08</t>
  </si>
  <si>
    <t xml:space="preserve">2024-09</t>
  </si>
  <si>
    <t xml:space="preserve">2024-10</t>
  </si>
  <si>
    <t xml:space="preserve">2024-11</t>
  </si>
  <si>
    <t xml:space="preserve">2024-12</t>
  </si>
  <si>
    <t xml:space="preserve">2025-01</t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</si>
  <si>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</si>
  <si>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</si>
  <si>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</si>
  <si>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</si>
  <si>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</si>
  <si>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2025-07</t>
  </si>
  <si>
    <t xml:space="preserve">2025-08</t>
  </si>
  <si>
    <t xml:space="preserve">2025-09</t>
  </si>
  <si>
    <t xml:space="preserve">2025-10</t>
  </si>
  <si>
    <t xml:space="preserve">2025-11</t>
  </si>
  <si>
    <t xml:space="preserve">2025-12</t>
  </si>
  <si>
    <t xml:space="preserve">2026-01</t>
  </si>
  <si>
    <t xml:space="preserve">2026-02</t>
  </si>
  <si>
    <t xml:space="preserve">2026-03</t>
  </si>
  <si>
    <t xml:space="preserve">2026-04</t>
  </si>
  <si>
    <t xml:space="preserve">2026-05</t>
  </si>
  <si>
    <t xml:space="preserve">2026-06</t>
  </si>
  <si>
    <t xml:space="preserve">2026-07</t>
  </si>
  <si>
    <t xml:space="preserve">2026-08</t>
  </si>
  <si>
    <t xml:space="preserve">2026-09</t>
  </si>
  <si>
    <t xml:space="preserve">2026-10</t>
  </si>
  <si>
    <t xml:space="preserve">2026-11</t>
  </si>
  <si>
    <t xml:space="preserve">2026-12</t>
  </si>
  <si>
    <t xml:space="preserve">Fato_Repasses — Lançamentos de repasses e execução financeira por UPA</t>
  </si>
  <si>
    <t xml:space="preserve">Linhas em cinza/itálico (topo) = dados REAIS localizados em fontes públicas nesta pesquisa. Linhas com fundo amarelo = para a equipe preencher.</t>
  </si>
  <si>
    <t xml:space="preserve">Valor_Previsto (R$)</t>
  </si>
  <si>
    <t xml:space="preserve">Valor_Repassado (R$)</t>
  </si>
  <si>
    <t xml:space="preserve">Valor_Empenhado (R$)</t>
  </si>
  <si>
    <t xml:space="preserve">Valor_Liquidado (R$)</t>
  </si>
  <si>
    <t xml:space="preserve">Valor_Pago (R$)</t>
  </si>
  <si>
    <t xml:space="preserve">% Execução (Pago/Repassado)</t>
  </si>
  <si>
    <t xml:space="preserve">Fonte_Dado / Observações</t>
  </si>
  <si>
    <t xml:space="preserve">Contrato de Gestão</t>
  </si>
  <si>
    <t xml:space="preserve">Doc. 000000002928 - Competência 08/2022 - CTR 052/2018</t>
  </si>
  <si>
    <t xml:space="preserve">REAL. Valor repassado pelo Fundo Estadual de Saúde à OSS gestora (INTS) referente à competência do mês. Empenhado/liquidado/pago não constam no razão consultado. Fonte: Razão contábil Jun/2023, upadefeira.ints.org.br/transparencia</t>
  </si>
  <si>
    <t xml:space="preserve">Doc. 000000002962 - Competência 09/2022 - CTR 052/2018</t>
  </si>
  <si>
    <t xml:space="preserve">REAL. Idem acima. Fonte: Razão contábil Jun/2023, upadefeira.ints.org.br/transparencia</t>
  </si>
  <si>
    <t xml:space="preserve">Doc. 000000002995 - Competência 10/2022 - CTR 052/2018</t>
  </si>
  <si>
    <t xml:space="preserve">REAL (valor abaixo da média — possível repasse parcial no mês; confirmar com a OSS/SESAB). Fonte: Razão contábil Jun/2023, upadefeira.ints.org.br/transparencia</t>
  </si>
  <si>
    <t xml:space="preserve">Doc. 000000003012 - Competência 11/2022 - CTR 052/2018</t>
  </si>
  <si>
    <t xml:space="preserve">REAL. Fonte: Razão contábil Jun/2023, upadefeira.ints.org.br/transparencia</t>
  </si>
  <si>
    <t xml:space="preserve">Doc. 000000003043 - Competência 12/2022 - CTR 052/2018</t>
  </si>
  <si>
    <t xml:space="preserve">Doc. 000000003053 - Competência 01/2023 - CTR 052/2018</t>
  </si>
  <si>
    <t xml:space="preserve">Doc. 000000003063 - Competência 02/2023 - CTR 052/2018</t>
  </si>
  <si>
    <t xml:space="preserve">Termo Aditivo nº 245-2026-11AC ao Contrato nº 437/2024 (SMS/INSAÚDE)</t>
  </si>
  <si>
    <t xml:space="preserve">VALOR CONTRATUAL (não é o repasse mensal efetivamente apurado): contrato de gestão renovado em R$ 14.831.003,93/ano (÷12 meses), vigência 18/06/2026 a 18/06/2027. Repasse mensal real pode variar; confirmar execução junto ao Fundo Municipal de Saúde. Fonte: Blog do Velame e Bahia na Política (jun/2026), Diário Oficial do Município.</t>
  </si>
  <si>
    <t xml:space="preserve">Indicadores_Dashboard — KPIs calculados a partir de Fato_Repasses</t>
  </si>
  <si>
    <t xml:space="preserve">Estes quadros recalculam automaticamente conforme a aba Fato_Repasses é preenchida (fórmulas SUMIFS).</t>
  </si>
  <si>
    <t xml:space="preserve">1) Total repassado por ano e por esfera (R$)</t>
  </si>
  <si>
    <t xml:space="preserve">Total Ano</t>
  </si>
  <si>
    <t xml:space="preserve">Total</t>
  </si>
  <si>
    <t xml:space="preserve">2) Total repassado por UPA (todo o período carregado)</t>
  </si>
  <si>
    <t xml:space="preserve">UPA</t>
  </si>
  <si>
    <t xml:space="preserve">Total Repassado (R$)</t>
  </si>
  <si>
    <t xml:space="preserve">Total Pago (R$)</t>
  </si>
  <si>
    <t xml:space="preserve">% Execução</t>
  </si>
  <si>
    <t xml:space="preserve">3) Participação (%) de cada esfera no total repassado</t>
  </si>
  <si>
    <t xml:space="preserve">Total (R$)</t>
  </si>
  <si>
    <t xml:space="preserve">% do Total</t>
  </si>
  <si>
    <t xml:space="preserve">Fontes_Oficiais — Onde buscar os dados reais para preencher a base</t>
  </si>
  <si>
    <t xml:space="preserve">Esfera / Sistema</t>
  </si>
  <si>
    <t xml:space="preserve">O que traz e como usar</t>
  </si>
  <si>
    <t xml:space="preserve">Link</t>
  </si>
  <si>
    <t xml:space="preserve">Federal — FNS Consulta Gerencial</t>
  </si>
  <si>
    <t xml:space="preserve">Repasses fundo a fundo por município, bloco de financiamento e competência (mensal). Filtrar por Bahia &gt; Feira de Santana.</t>
  </si>
  <si>
    <t xml:space="preserve">https://painelms.saude.gov.br/extensions/Portal_Gerencial/Portal_Gerencial.html</t>
  </si>
  <si>
    <t xml:space="preserve">Federal — Repasses Financeiros / Fundo Nacional de Saúde</t>
  </si>
  <si>
    <t xml:space="preserve">Portal institucional do FNS com blocos de custeio e investimento, SISMOB (obras) e InvestSUS (emendas/propostas).</t>
  </si>
  <si>
    <t xml:space="preserve">https://antigo.saude.gov.br/repasses-financeiros</t>
  </si>
  <si>
    <t xml:space="preserve">Federal — Portal da Transparência (Governo Federal)</t>
  </si>
  <si>
    <t xml:space="preserve">Transferências de recursos federais ao município, incluindo saúde, por ano.</t>
  </si>
  <si>
    <t xml:space="preserve">https://portaldatransparencia.gov.br</t>
  </si>
  <si>
    <t xml:space="preserve">Estadual — SESAB / Fundo Estadual de Saúde</t>
  </si>
  <si>
    <t xml:space="preserve">Contrato de gestão nº 052/2018 da UPA estadual. Demonstrativos financeiros (Razão/Balancete/Diário) mensais publicados pela OSS gestora — usados nesta pesquisa para localizar valores reais de ago/2022 a fev/2023.</t>
  </si>
  <si>
    <t xml:space="preserve">https://upadefeira.ints.org.br/transparencia/</t>
  </si>
  <si>
    <t xml:space="preserve">Estadual — S3 Gestão em Saúde (OSS atual)</t>
  </si>
  <si>
    <t xml:space="preserve">Página de transparência da atual gestora da UPA Feira de Santana, com relatórios gerenciais de produção mensal (2024-2025).</t>
  </si>
  <si>
    <t xml:space="preserve">https://s3saude.org.br/unidade-de-pronto-atendimento-de-feira-de-santana-upa-24h-transparencia/</t>
  </si>
  <si>
    <t xml:space="preserve">Municipal — Diário Oficial do Município</t>
  </si>
  <si>
    <t xml:space="preserve">Publica os contratos de gestão e termos aditivos (ex.: Contrato nº 437/2024 e Termo Aditivo nº 245-2026-11AC, UPA Queimadinha/INSAÚDE) com os valores contratuais anuais.</t>
  </si>
  <si>
    <t xml:space="preserve">https://diariooficial.feiradesantana.ba.gov.br</t>
  </si>
  <si>
    <t xml:space="preserve">Estadual — Portal da Transparência da Bahia</t>
  </si>
  <si>
    <t xml:space="preserve">Execução orçamentária estadual por unidade gestora/programa de saúde.</t>
  </si>
  <si>
    <t xml:space="preserve">https://www.transparencia.ba.gov.br</t>
  </si>
  <si>
    <t xml:space="preserve">Municipal — Portal da Transparência de Feira de Santana</t>
  </si>
  <si>
    <t xml:space="preserve">Execução orçamentária municipal, despesas por secretaria/fundo, incluindo Fundo Municipal de Saúde.</t>
  </si>
  <si>
    <t xml:space="preserve">http://www.feiradesantana.ba.gov.br</t>
  </si>
  <si>
    <t xml:space="preserve">Municipal/Estadual/Federal — SIOPS</t>
  </si>
  <si>
    <t xml:space="preserve">Sistema de Informações sobre Orçamentos Públicos em Saúde: receitas e despesas em saúde por município, série histórica.</t>
  </si>
  <si>
    <t xml:space="preserve">https://www.gov.br/saude</t>
  </si>
  <si>
    <t xml:space="preserve">Cadastro das unidades — CNES/DATASUS</t>
  </si>
  <si>
    <t xml:space="preserve">Cadastro Nacional de Estabelecimentos de Saúde: confirma nome oficial, CNES, porte e leitos de cada UPA de Feira de Santana.</t>
  </si>
  <si>
    <t xml:space="preserve">https://cnes.datasus.gov.br</t>
  </si>
  <si>
    <t xml:space="preserve">Controle interno — Câmara Municipal / TCM-BA</t>
  </si>
  <si>
    <t xml:space="preserve">Pareceres, prestações de contas e auditorias sobre a aplicação dos recursos da saúde no município.</t>
  </si>
  <si>
    <t xml:space="preserve">https://www.tcm.ba.gov.br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</si>
</sst>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&quot;R$ &quot;#,##0.00;[RED]&quot;-R$ &quot;#,##0.00"/>
    <numFmt numFmtId="166" formatCode="0.0%"/>
    <numFmt numFmtId="167" formatCode="&quot;R$ &quot;#,##0;[RED]&quot;-R$ &quot;#,##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1F4E5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b val="true"/>
      <sz val="11"/>
      <color rgb="FF1F4E5F"/>
      <name val="Arial"/>
      <family val="0"/>
      <charset val="1"/>
    </font>
    <font>
      <b val="true"/>
      <sz val="1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5F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4E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00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B3" s="3"/>
    </row>
    <row r="4" customFormat="false" ht="15" hidden="false" customHeight="false" outlineLevel="0" collapsed="false">
      <c r="B4" s="4" t="s">
        <v>2</v>
      </c>
    </row>
    <row r="5" customFormat="false" ht="35.05" hidden="false" customHeight="false" outlineLevel="0" collapsed="false">
      <c r="B5" s="3" t="s">
        <v>3</v>
      </c>
    </row>
    <row r="6" customFormat="false" ht="15" hidden="false" customHeight="false" outlineLevel="0" collapsed="false">
      <c r="B6" s="3"/>
    </row>
    <row r="7" customFormat="false" ht="15" hidden="false" customHeight="false" outlineLevel="0" collapsed="false">
      <c r="B7" s="3" t="s">
        <v>4</v>
      </c>
    </row>
    <row r="8" customFormat="false" ht="15" hidden="false" customHeight="false" outlineLevel="0" collapsed="false">
      <c r="B8" s="3" t="s">
        <v>5</v>
      </c>
    </row>
    <row r="9" customFormat="false" ht="15" hidden="false" customHeight="false" outlineLevel="0" collapsed="false">
      <c r="B9" s="3" t="s">
        <v>6</v>
      </c>
    </row>
    <row r="10" customFormat="false" ht="15" hidden="false" customHeight="false" outlineLevel="0" collapsed="false">
      <c r="B10" s="3" t="s">
        <v>7</v>
      </c>
    </row>
    <row r="11" customFormat="false" ht="15" hidden="false" customHeight="false" outlineLevel="0" collapsed="false">
      <c r="B11" s="3" t="s">
        <v>8</v>
      </c>
    </row>
    <row r="12" customFormat="false" ht="15" hidden="false" customHeight="false" outlineLevel="0" collapsed="false">
      <c r="B12" s="3" t="s">
        <v>9</v>
      </c>
    </row>
    <row r="13" customFormat="false" ht="15" hidden="false" customHeight="false" outlineLevel="0" collapsed="false">
      <c r="B13" s="3" t="s">
        <v>10</v>
      </c>
    </row>
    <row r="14" customFormat="false" ht="15" hidden="false" customHeight="false" outlineLevel="0" collapsed="false">
      <c r="B14" s="3" t="s">
        <v>11</v>
      </c>
    </row>
    <row r="15" customFormat="false" ht="15" hidden="false" customHeight="false" outlineLevel="0" collapsed="false">
      <c r="B15" s="3" t="s">
        <v>12</v>
      </c>
    </row>
    <row r="16" customFormat="false" ht="15" hidden="false" customHeight="false" outlineLevel="0" collapsed="false">
      <c r="B16" s="3" t="s">
        <v>13</v>
      </c>
    </row>
    <row r="17" customFormat="false" ht="15" hidden="false" customHeight="false" outlineLevel="0" collapsed="false">
      <c r="B17" s="3"/>
    </row>
    <row r="18" customFormat="false" ht="15" hidden="false" customHeight="false" outlineLevel="0" collapsed="false">
      <c r="B18" s="4" t="s">
        <v>14</v>
      </c>
    </row>
    <row r="19" customFormat="false" ht="15" hidden="false" customHeight="false" outlineLevel="0" collapsed="false">
      <c r="B19" s="3" t="s">
        <v>15</v>
      </c>
    </row>
    <row r="20" customFormat="false" ht="15" hidden="false" customHeight="false" outlineLevel="0" collapsed="false">
      <c r="B20" s="3" t="s">
        <v>16</v>
      </c>
    </row>
    <row r="21" customFormat="false" ht="15" hidden="false" customHeight="false" outlineLevel="0" collapsed="false">
      <c r="B21" s="3" t="s">
        <v>17</v>
      </c>
    </row>
    <row r="22" customFormat="false" ht="23.85" hidden="false" customHeight="false" outlineLevel="0" collapsed="false">
      <c r="B22" s="3" t="s">
        <v>18</v>
      </c>
    </row>
    <row r="23" customFormat="false" ht="15" hidden="false" customHeight="false" outlineLevel="0" collapsed="false">
      <c r="B23" s="3" t="s">
        <v>19</v>
      </c>
    </row>
    <row r="24" customFormat="false" ht="15" hidden="false" customHeight="false" outlineLevel="0" collapsed="false">
      <c r="B24" s="3" t="s">
        <v>20</v>
      </c>
    </row>
    <row r="25" customFormat="false" ht="15" hidden="false" customHeight="false" outlineLevel="0" collapsed="false">
      <c r="B25" s="3" t="s">
        <v>21</v>
      </c>
    </row>
    <row r="26" customFormat="false" ht="15" hidden="false" customHeight="false" outlineLevel="0" collapsed="false">
      <c r="B26" s="3" t="s">
        <v>22</v>
      </c>
    </row>
    <row r="27" customFormat="false" ht="15" hidden="false" customHeight="false" outlineLevel="0" collapsed="false">
      <c r="B27" s="3"/>
    </row>
    <row r="28" customFormat="false" ht="15" hidden="false" customHeight="false" outlineLevel="0" collapsed="false">
      <c r="B28" s="4" t="s">
        <v>23</v>
      </c>
    </row>
    <row r="29" customFormat="false" ht="15" hidden="false" customHeight="false" outlineLevel="0" collapsed="false">
      <c r="B29" s="3" t="s">
        <v>24</v>
      </c>
    </row>
    <row r="30" customFormat="false" ht="15" hidden="false" customHeight="false" outlineLevel="0" collapsed="false">
      <c r="B30" s="3" t="s">
        <v>25</v>
      </c>
    </row>
    <row r="31" customFormat="false" ht="15" hidden="false" customHeight="false" outlineLevel="0" collapsed="false">
      <c r="B31" s="3" t="s">
        <v>26</v>
      </c>
    </row>
    <row r="32" customFormat="false" ht="15" hidden="false" customHeight="false" outlineLevel="0" collapsed="false">
      <c r="B32" s="3" t="s">
        <v>27</v>
      </c>
    </row>
    <row r="33" customFormat="false" ht="15" hidden="false" customHeight="false" outlineLevel="0" collapsed="false">
      <c r="B33" s="3" t="s">
        <v>28</v>
      </c>
    </row>
    <row r="34" customFormat="false" ht="15" hidden="false" customHeight="false" outlineLevel="0" collapsed="false">
      <c r="B34" s="3" t="s">
        <v>29</v>
      </c>
    </row>
    <row r="35" customFormat="false" ht="15" hidden="false" customHeight="false" outlineLevel="0" collapsed="false">
      <c r="B35" s="3" t="s">
        <v>30</v>
      </c>
    </row>
    <row r="36" customFormat="false" ht="15" hidden="false" customHeight="false" outlineLevel="0" collapsed="false">
      <c r="B36" s="3"/>
    </row>
    <row r="37" customFormat="false" ht="15" hidden="false" customHeight="false" outlineLevel="0" collapsed="false">
      <c r="B37" s="4" t="s">
        <v>31</v>
      </c>
    </row>
    <row r="38" customFormat="false" ht="15" hidden="false" customHeight="false" outlineLevel="0" collapsed="false">
      <c r="B38" s="3" t="s">
        <v>32</v>
      </c>
    </row>
    <row r="39" customFormat="false" ht="15" hidden="false" customHeight="false" outlineLevel="0" collapsed="false">
      <c r="B39" s="3" t="s">
        <v>33</v>
      </c>
    </row>
    <row r="40" customFormat="false" ht="15" hidden="false" customHeight="false" outlineLevel="0" collapsed="false">
      <c r="B40" s="3" t="s">
        <v>34</v>
      </c>
    </row>
    <row r="41" customFormat="false" ht="15" hidden="false" customHeight="false" outlineLevel="0" collapsed="false">
      <c r="B41" s="3"/>
    </row>
    <row r="42" customFormat="false" ht="15" hidden="false" customHeight="false" outlineLevel="0" collapsed="false">
      <c r="B42" s="4" t="s">
        <v>35</v>
      </c>
    </row>
    <row r="43" customFormat="false" ht="15" hidden="false" customHeight="false" outlineLevel="0" collapsed="false">
      <c r="B43" s="3" t="s">
        <v>36</v>
      </c>
    </row>
    <row r="44" customFormat="false" ht="15" hidden="false" customHeight="false" outlineLevel="0" collapsed="false">
      <c r="B44" s="3" t="s">
        <v>37</v>
      </c>
    </row>
    <row r="45" customFormat="false" ht="15" hidden="false" customHeight="false" outlineLevel="0" collapsed="false">
      <c r="B45" s="3" t="s">
        <v>38</v>
      </c>
    </row>
    <row r="46" customFormat="false" ht="15" hidden="false" customHeight="false" outlineLevel="0" collapsed="false">
      <c r="B46" s="3" t="s">
        <v>39</v>
      </c>
    </row>
    <row r="47" customFormat="false" ht="15" hidden="false" customHeight="false" outlineLevel="0" collapsed="false">
      <c r="B47" s="3" t="s">
        <v>40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4" min="4" style="0" width="40"/>
    <col collapsed="false" customWidth="true" hidden="false" outlineLevel="0" max="5" min="5" style="0" width="30"/>
  </cols>
  <sheetData>
    <row r="1" customFormat="false" ht="25.5" hidden="false" customHeight="true" outlineLevel="0" collapsed="false">
      <c r="A1" s="1" t="s">
        <v>41</v>
      </c>
      <c r="B1" s="1"/>
      <c r="C1" s="1"/>
      <c r="D1" s="1"/>
      <c r="E1" s="1"/>
    </row>
    <row r="3" customFormat="false" ht="15" hidden="false" customHeight="false" outlineLevel="0" collapsed="false">
      <c r="A3" s="5" t="s">
        <v>42</v>
      </c>
      <c r="B3" s="5" t="s">
        <v>43</v>
      </c>
      <c r="C3" s="5" t="s">
        <v>44</v>
      </c>
      <c r="D3" s="5" t="s">
        <v>45</v>
      </c>
      <c r="E3" s="5" t="s">
        <v>46</v>
      </c>
    </row>
    <row r="4" customFormat="false" ht="15" hidden="false" customHeight="false" outlineLevel="0" collapsed="false">
      <c r="A4" s="6" t="s">
        <v>47</v>
      </c>
      <c r="B4" s="6" t="s">
        <v>48</v>
      </c>
      <c r="C4" s="6" t="s">
        <v>49</v>
      </c>
      <c r="D4" s="6" t="s">
        <v>50</v>
      </c>
      <c r="E4" s="6" t="s">
        <v>51</v>
      </c>
    </row>
    <row r="5" customFormat="false" ht="15" hidden="false" customHeight="false" outlineLevel="0" collapsed="false">
      <c r="A5" s="6" t="s">
        <v>47</v>
      </c>
      <c r="B5" s="6" t="s">
        <v>52</v>
      </c>
      <c r="C5" s="6" t="s">
        <v>53</v>
      </c>
      <c r="D5" s="6" t="s">
        <v>54</v>
      </c>
      <c r="E5" s="6" t="s">
        <v>55</v>
      </c>
    </row>
    <row r="6" customFormat="false" ht="23.85" hidden="false" customHeight="false" outlineLevel="0" collapsed="false">
      <c r="A6" s="6" t="s">
        <v>47</v>
      </c>
      <c r="B6" s="6" t="s">
        <v>56</v>
      </c>
      <c r="C6" s="6" t="s">
        <v>53</v>
      </c>
      <c r="D6" s="6" t="s">
        <v>57</v>
      </c>
      <c r="E6" s="6" t="s">
        <v>58</v>
      </c>
    </row>
    <row r="7" customFormat="false" ht="15" hidden="false" customHeight="false" outlineLevel="0" collapsed="false">
      <c r="A7" s="6" t="s">
        <v>47</v>
      </c>
      <c r="B7" s="6" t="s">
        <v>59</v>
      </c>
      <c r="C7" s="6" t="s">
        <v>53</v>
      </c>
      <c r="D7" s="6" t="s">
        <v>60</v>
      </c>
      <c r="E7" s="6" t="s">
        <v>61</v>
      </c>
    </row>
    <row r="8" customFormat="false" ht="15" hidden="false" customHeight="false" outlineLevel="0" collapsed="false">
      <c r="A8" s="6" t="s">
        <v>62</v>
      </c>
      <c r="B8" s="6" t="s">
        <v>63</v>
      </c>
      <c r="C8" s="6" t="s">
        <v>49</v>
      </c>
      <c r="D8" s="6" t="s">
        <v>64</v>
      </c>
      <c r="E8" s="6" t="s">
        <v>65</v>
      </c>
    </row>
    <row r="9" customFormat="false" ht="15" hidden="false" customHeight="false" outlineLevel="0" collapsed="false">
      <c r="A9" s="6" t="s">
        <v>62</v>
      </c>
      <c r="B9" s="6" t="s">
        <v>66</v>
      </c>
      <c r="C9" s="6" t="s">
        <v>53</v>
      </c>
      <c r="D9" s="6" t="s">
        <v>67</v>
      </c>
      <c r="E9" s="6" t="s">
        <v>68</v>
      </c>
    </row>
    <row r="10" customFormat="false" ht="15" hidden="false" customHeight="false" outlineLevel="0" collapsed="false">
      <c r="A10" s="6" t="s">
        <v>62</v>
      </c>
      <c r="B10" s="6" t="s">
        <v>69</v>
      </c>
      <c r="C10" s="6" t="s">
        <v>53</v>
      </c>
      <c r="D10" s="6" t="s">
        <v>70</v>
      </c>
      <c r="E10" s="6" t="s">
        <v>55</v>
      </c>
    </row>
    <row r="11" customFormat="false" ht="15" hidden="false" customHeight="false" outlineLevel="0" collapsed="false">
      <c r="A11" s="6" t="s">
        <v>71</v>
      </c>
      <c r="B11" s="6" t="s">
        <v>72</v>
      </c>
      <c r="C11" s="6" t="s">
        <v>49</v>
      </c>
      <c r="D11" s="6" t="s">
        <v>73</v>
      </c>
      <c r="E11" s="6" t="s">
        <v>74</v>
      </c>
    </row>
    <row r="12" customFormat="false" ht="15" hidden="false" customHeight="false" outlineLevel="0" collapsed="false">
      <c r="A12" s="6" t="s">
        <v>75</v>
      </c>
      <c r="B12" s="6" t="s">
        <v>76</v>
      </c>
      <c r="C12" s="6" t="s">
        <v>49</v>
      </c>
      <c r="D12" s="6" t="s">
        <v>77</v>
      </c>
      <c r="E12" s="6" t="s">
        <v>78</v>
      </c>
    </row>
    <row r="13" customFormat="false" ht="15" hidden="false" customHeight="false" outlineLevel="0" collapsed="false">
      <c r="A13" s="6" t="s">
        <v>79</v>
      </c>
      <c r="B13" s="6" t="s">
        <v>80</v>
      </c>
      <c r="C13" s="6" t="s">
        <v>49</v>
      </c>
      <c r="D13" s="6" t="s">
        <v>81</v>
      </c>
      <c r="E13" s="6" t="s">
        <v>82</v>
      </c>
    </row>
    <row r="14" customFormat="false" ht="15" hidden="false" customHeight="false" outlineLevel="0" collapsed="false">
      <c r="A14" s="6" t="s">
        <v>83</v>
      </c>
      <c r="B14" s="6" t="s">
        <v>84</v>
      </c>
      <c r="C14" s="6" t="s">
        <v>85</v>
      </c>
      <c r="D14" s="6" t="s">
        <v>86</v>
      </c>
      <c r="E14" s="6" t="s">
        <v>87</v>
      </c>
    </row>
    <row r="15" customFormat="false" ht="15" hidden="false" customHeight="false" outlineLevel="0" collapsed="false">
      <c r="A15" s="6" t="s">
        <v>83</v>
      </c>
      <c r="B15" s="6" t="s">
        <v>88</v>
      </c>
      <c r="C15" s="6" t="s">
        <v>89</v>
      </c>
      <c r="D15" s="6" t="s">
        <v>90</v>
      </c>
      <c r="E15" s="6" t="s">
        <v>91</v>
      </c>
    </row>
    <row r="16" customFormat="false" ht="23.85" hidden="false" customHeight="false" outlineLevel="0" collapsed="false">
      <c r="A16" s="6" t="s">
        <v>83</v>
      </c>
      <c r="B16" s="6" t="s">
        <v>92</v>
      </c>
      <c r="C16" s="6" t="s">
        <v>93</v>
      </c>
      <c r="D16" s="6" t="s">
        <v>94</v>
      </c>
      <c r="E16" s="6" t="s">
        <v>95</v>
      </c>
    </row>
    <row r="17" customFormat="false" ht="35.05" hidden="false" customHeight="false" outlineLevel="0" collapsed="false">
      <c r="A17" s="6" t="s">
        <v>83</v>
      </c>
      <c r="B17" s="6" t="s">
        <v>96</v>
      </c>
      <c r="C17" s="6" t="s">
        <v>53</v>
      </c>
      <c r="D17" s="6" t="s">
        <v>97</v>
      </c>
      <c r="E17" s="6" t="s">
        <v>98</v>
      </c>
    </row>
    <row r="18" customFormat="false" ht="15" hidden="false" customHeight="false" outlineLevel="0" collapsed="false">
      <c r="A18" s="6" t="s">
        <v>83</v>
      </c>
      <c r="B18" s="6" t="s">
        <v>99</v>
      </c>
      <c r="C18" s="6" t="s">
        <v>53</v>
      </c>
      <c r="D18" s="6" t="s">
        <v>100</v>
      </c>
      <c r="E18" s="6" t="s">
        <v>101</v>
      </c>
    </row>
    <row r="19" customFormat="false" ht="23.85" hidden="false" customHeight="false" outlineLevel="0" collapsed="false">
      <c r="A19" s="6" t="s">
        <v>83</v>
      </c>
      <c r="B19" s="6" t="s">
        <v>102</v>
      </c>
      <c r="C19" s="6" t="s">
        <v>103</v>
      </c>
      <c r="D19" s="6" t="s">
        <v>104</v>
      </c>
      <c r="E19" s="6" t="s">
        <v>105</v>
      </c>
    </row>
    <row r="20" customFormat="false" ht="15" hidden="false" customHeight="false" outlineLevel="0" collapsed="false">
      <c r="A20" s="6" t="s">
        <v>83</v>
      </c>
      <c r="B20" s="6" t="s">
        <v>106</v>
      </c>
      <c r="C20" s="6" t="s">
        <v>107</v>
      </c>
      <c r="D20" s="6" t="s">
        <v>108</v>
      </c>
      <c r="E20" s="6" t="s">
        <v>109</v>
      </c>
    </row>
    <row r="21" customFormat="false" ht="23.85" hidden="false" customHeight="false" outlineLevel="0" collapsed="false">
      <c r="A21" s="6" t="s">
        <v>83</v>
      </c>
      <c r="B21" s="6" t="s">
        <v>110</v>
      </c>
      <c r="C21" s="6" t="s">
        <v>111</v>
      </c>
      <c r="D21" s="6" t="s">
        <v>112</v>
      </c>
      <c r="E21" s="6" t="s">
        <v>113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34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8" min="8" style="0" width="8"/>
    <col collapsed="false" customWidth="true" hidden="false" outlineLevel="0" max="9" min="9" style="0" width="16"/>
    <col collapsed="false" customWidth="true" hidden="false" outlineLevel="0" max="10" min="10" style="0" width="40"/>
  </cols>
  <sheetData>
    <row r="1" customFormat="false" ht="25.5" hidden="false" customHeight="true" outlineLevel="0" collapsed="false">
      <c r="A1" s="1" t="s">
        <v>114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.75" hidden="false" customHeight="true" outlineLevel="0" collapsed="false">
      <c r="A2" s="2" t="s">
        <v>115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23.85" hidden="false" customHeight="false" outlineLevel="0" collapsed="false">
      <c r="A3" s="5" t="s">
        <v>48</v>
      </c>
      <c r="B3" s="5" t="s">
        <v>52</v>
      </c>
      <c r="C3" s="5" t="s">
        <v>116</v>
      </c>
      <c r="D3" s="5" t="s">
        <v>56</v>
      </c>
      <c r="E3" s="5" t="s">
        <v>117</v>
      </c>
      <c r="F3" s="5" t="s">
        <v>59</v>
      </c>
      <c r="G3" s="5" t="s">
        <v>118</v>
      </c>
      <c r="H3" s="5" t="s">
        <v>119</v>
      </c>
      <c r="I3" s="5" t="s">
        <v>120</v>
      </c>
      <c r="J3" s="5" t="s">
        <v>121</v>
      </c>
    </row>
    <row r="4" customFormat="false" ht="42" hidden="false" customHeight="true" outlineLevel="0" collapsed="false">
      <c r="A4" s="7" t="s">
        <v>122</v>
      </c>
      <c r="B4" s="7" t="s">
        <v>123</v>
      </c>
      <c r="C4" s="7" t="s">
        <v>124</v>
      </c>
      <c r="D4" s="7" t="s">
        <v>125</v>
      </c>
      <c r="E4" s="7" t="s">
        <v>126</v>
      </c>
      <c r="F4" s="7" t="s">
        <v>127</v>
      </c>
      <c r="G4" s="7" t="n">
        <v>2016</v>
      </c>
      <c r="H4" s="7" t="n">
        <v>24</v>
      </c>
      <c r="I4" s="7" t="s">
        <v>128</v>
      </c>
      <c r="J4" s="7" t="s">
        <v>129</v>
      </c>
    </row>
    <row r="5" customFormat="false" ht="42" hidden="false" customHeight="true" outlineLevel="0" collapsed="false">
      <c r="A5" s="7" t="s">
        <v>130</v>
      </c>
      <c r="B5" s="7" t="s">
        <v>131</v>
      </c>
      <c r="C5" s="7" t="s">
        <v>132</v>
      </c>
      <c r="D5" s="7" t="s">
        <v>133</v>
      </c>
      <c r="E5" s="7" t="s">
        <v>134</v>
      </c>
      <c r="F5" s="7" t="s">
        <v>135</v>
      </c>
      <c r="G5" s="7" t="n">
        <v>2018</v>
      </c>
      <c r="H5" s="7" t="s">
        <v>136</v>
      </c>
      <c r="I5" s="7" t="s">
        <v>137</v>
      </c>
      <c r="J5" s="7" t="s">
        <v>138</v>
      </c>
    </row>
    <row r="6" customFormat="false" ht="42" hidden="false" customHeight="true" outlineLevel="0" collapsed="false">
      <c r="A6" s="7" t="s">
        <v>139</v>
      </c>
      <c r="B6" s="7" t="s">
        <v>140</v>
      </c>
      <c r="C6" s="7" t="s">
        <v>137</v>
      </c>
      <c r="D6" s="7" t="s">
        <v>137</v>
      </c>
      <c r="E6" s="7" t="s">
        <v>137</v>
      </c>
      <c r="F6" s="7" t="s">
        <v>137</v>
      </c>
      <c r="G6" s="7" t="s">
        <v>137</v>
      </c>
      <c r="H6" s="7" t="s">
        <v>137</v>
      </c>
      <c r="I6" s="7" t="s">
        <v>137</v>
      </c>
      <c r="J6" s="7" t="s">
        <v>141</v>
      </c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34"/>
    <col collapsed="false" customWidth="true" hidden="false" outlineLevel="0" max="4" min="4" style="0" width="30"/>
    <col collapsed="false" customWidth="true" hidden="false" outlineLevel="0" max="5" min="5" style="0" width="40"/>
  </cols>
  <sheetData>
    <row r="1" customFormat="false" ht="25.5" hidden="false" customHeight="true" outlineLevel="0" collapsed="false">
      <c r="A1" s="1" t="s">
        <v>142</v>
      </c>
      <c r="B1" s="1"/>
      <c r="C1" s="1"/>
      <c r="D1" s="1"/>
      <c r="E1" s="1"/>
    </row>
    <row r="3" customFormat="false" ht="15" hidden="false" customHeight="false" outlineLevel="0" collapsed="false">
      <c r="A3" s="5" t="s">
        <v>63</v>
      </c>
      <c r="B3" s="5" t="s">
        <v>66</v>
      </c>
      <c r="C3" s="5" t="s">
        <v>69</v>
      </c>
      <c r="D3" s="5" t="s">
        <v>143</v>
      </c>
      <c r="E3" s="5" t="s">
        <v>144</v>
      </c>
    </row>
    <row r="4" customFormat="false" ht="39.75" hidden="false" customHeight="true" outlineLevel="0" collapsed="false">
      <c r="A4" s="7" t="s">
        <v>145</v>
      </c>
      <c r="B4" s="7" t="s">
        <v>146</v>
      </c>
      <c r="C4" s="7" t="s">
        <v>147</v>
      </c>
      <c r="D4" s="7" t="s">
        <v>148</v>
      </c>
      <c r="E4" s="7" t="s">
        <v>149</v>
      </c>
    </row>
    <row r="5" customFormat="false" ht="39.75" hidden="false" customHeight="true" outlineLevel="0" collapsed="false">
      <c r="A5" s="7" t="s">
        <v>150</v>
      </c>
      <c r="B5" s="7" t="s">
        <v>146</v>
      </c>
      <c r="C5" s="7" t="s">
        <v>151</v>
      </c>
      <c r="D5" s="7" t="s">
        <v>152</v>
      </c>
      <c r="E5" s="7" t="s">
        <v>153</v>
      </c>
    </row>
    <row r="6" customFormat="false" ht="39.75" hidden="false" customHeight="true" outlineLevel="0" collapsed="false">
      <c r="A6" s="7" t="s">
        <v>154</v>
      </c>
      <c r="B6" s="7" t="s">
        <v>155</v>
      </c>
      <c r="C6" s="7" t="s">
        <v>156</v>
      </c>
      <c r="D6" s="7" t="s">
        <v>157</v>
      </c>
      <c r="E6" s="7" t="s">
        <v>158</v>
      </c>
    </row>
    <row r="7" customFormat="false" ht="39.75" hidden="false" customHeight="true" outlineLevel="0" collapsed="false">
      <c r="A7" s="7" t="s">
        <v>159</v>
      </c>
      <c r="B7" s="7" t="s">
        <v>160</v>
      </c>
      <c r="C7" s="7" t="s">
        <v>161</v>
      </c>
      <c r="D7" s="7" t="s">
        <v>162</v>
      </c>
      <c r="E7" s="7" t="s">
        <v>163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4"/>
    <col collapsed="false" customWidth="true" hidden="false" outlineLevel="0" max="3" min="3" style="0" width="46"/>
  </cols>
  <sheetData>
    <row r="1" customFormat="false" ht="25.5" hidden="false" customHeight="true" outlineLevel="0" collapsed="false">
      <c r="A1" s="1" t="s">
        <v>164</v>
      </c>
      <c r="B1" s="1"/>
      <c r="C1" s="1"/>
    </row>
    <row r="3" customFormat="false" ht="15" hidden="false" customHeight="false" outlineLevel="0" collapsed="false">
      <c r="A3" s="5" t="s">
        <v>72</v>
      </c>
      <c r="B3" s="5" t="s">
        <v>165</v>
      </c>
      <c r="C3" s="5" t="s">
        <v>166</v>
      </c>
    </row>
    <row r="4" customFormat="false" ht="30" hidden="false" customHeight="true" outlineLevel="0" collapsed="false">
      <c r="A4" s="7" t="s">
        <v>167</v>
      </c>
      <c r="B4" s="7" t="s">
        <v>168</v>
      </c>
      <c r="C4" s="7" t="s">
        <v>169</v>
      </c>
    </row>
    <row r="5" customFormat="false" ht="30" hidden="false" customHeight="true" outlineLevel="0" collapsed="false">
      <c r="A5" s="7" t="s">
        <v>170</v>
      </c>
      <c r="B5" s="7" t="s">
        <v>171</v>
      </c>
      <c r="C5" s="7" t="s">
        <v>172</v>
      </c>
    </row>
    <row r="6" customFormat="false" ht="30" hidden="false" customHeight="true" outlineLevel="0" collapsed="false">
      <c r="A6" s="7" t="s">
        <v>173</v>
      </c>
      <c r="B6" s="7" t="s">
        <v>174</v>
      </c>
      <c r="C6" s="7" t="s">
        <v>175</v>
      </c>
    </row>
    <row r="7" customFormat="false" ht="30" hidden="false" customHeight="true" outlineLevel="0" collapsed="false">
      <c r="A7" s="7" t="s">
        <v>176</v>
      </c>
      <c r="B7" s="7" t="s">
        <v>177</v>
      </c>
      <c r="C7" s="7" t="s">
        <v>178</v>
      </c>
    </row>
    <row r="8" customFormat="false" ht="30" hidden="false" customHeight="true" outlineLevel="0" collapsed="false">
      <c r="A8" s="7" t="s">
        <v>179</v>
      </c>
      <c r="B8" s="7" t="s">
        <v>180</v>
      </c>
      <c r="C8" s="7" t="s">
        <v>181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3" min="3" style="0" width="46"/>
  </cols>
  <sheetData>
    <row r="1" customFormat="false" ht="25.5" hidden="false" customHeight="true" outlineLevel="0" collapsed="false">
      <c r="A1" s="1" t="s">
        <v>182</v>
      </c>
      <c r="B1" s="1"/>
      <c r="C1" s="1"/>
    </row>
    <row r="3" customFormat="false" ht="23.85" hidden="false" customHeight="false" outlineLevel="0" collapsed="false">
      <c r="A3" s="5" t="s">
        <v>76</v>
      </c>
      <c r="B3" s="5" t="s">
        <v>183</v>
      </c>
      <c r="C3" s="5" t="s">
        <v>184</v>
      </c>
    </row>
    <row r="4" customFormat="false" ht="23.85" hidden="false" customHeight="false" outlineLevel="0" collapsed="false">
      <c r="A4" s="7" t="s">
        <v>185</v>
      </c>
      <c r="B4" s="7" t="s">
        <v>186</v>
      </c>
      <c r="C4" s="7" t="s">
        <v>187</v>
      </c>
    </row>
    <row r="5" customFormat="false" ht="23.85" hidden="false" customHeight="false" outlineLevel="0" collapsed="false">
      <c r="A5" s="7" t="s">
        <v>188</v>
      </c>
      <c r="B5" s="7" t="s">
        <v>189</v>
      </c>
      <c r="C5" s="7" t="s">
        <v>190</v>
      </c>
    </row>
    <row r="6" customFormat="false" ht="23.85" hidden="false" customHeight="false" outlineLevel="0" collapsed="false">
      <c r="A6" s="7" t="s">
        <v>191</v>
      </c>
      <c r="B6" s="7" t="s">
        <v>192</v>
      </c>
      <c r="C6" s="7" t="s">
        <v>193</v>
      </c>
    </row>
    <row r="7" customFormat="false" ht="23.85" hidden="false" customHeight="false" outlineLevel="0" collapsed="false">
      <c r="A7" s="7" t="s">
        <v>194</v>
      </c>
      <c r="B7" s="7" t="s">
        <v>195</v>
      </c>
      <c r="C7" s="7" t="s">
        <v>196</v>
      </c>
    </row>
    <row r="8" customFormat="false" ht="15" hidden="false" customHeight="false" outlineLevel="0" collapsed="false">
      <c r="A8" s="7" t="s">
        <v>197</v>
      </c>
      <c r="B8" s="7" t="s">
        <v>198</v>
      </c>
      <c r="C8" s="7" t="s">
        <v>199</v>
      </c>
    </row>
    <row r="9" customFormat="false" ht="23.85" hidden="false" customHeight="false" outlineLevel="0" collapsed="false">
      <c r="A9" s="7" t="s">
        <v>200</v>
      </c>
      <c r="B9" s="7" t="s">
        <v>201</v>
      </c>
      <c r="C9" s="7" t="s">
        <v>202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8"/>
    <col collapsed="false" customWidth="true" hidden="false" outlineLevel="0" max="4" min="4" style="0" width="12"/>
    <col collapsed="false" customWidth="true" hidden="false" outlineLevel="0" max="6" min="5" style="0" width="10"/>
  </cols>
  <sheetData>
    <row r="1" customFormat="false" ht="25.5" hidden="false" customHeight="true" outlineLevel="0" collapsed="false">
      <c r="A1" s="1" t="s">
        <v>203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5" t="s">
        <v>80</v>
      </c>
      <c r="B3" s="5" t="s">
        <v>204</v>
      </c>
      <c r="C3" s="5" t="s">
        <v>205</v>
      </c>
      <c r="D3" s="5" t="s">
        <v>206</v>
      </c>
      <c r="E3" s="5" t="s">
        <v>207</v>
      </c>
      <c r="F3" s="5" t="s">
        <v>208</v>
      </c>
    </row>
    <row r="4" customFormat="false" ht="15" hidden="false" customHeight="false" outlineLevel="0" collapsed="false">
      <c r="A4" s="8" t="s">
        <v>209</v>
      </c>
      <c r="B4" s="8" t="n">
        <v>2021</v>
      </c>
      <c r="C4" s="8" t="n">
        <v>1</v>
      </c>
      <c r="D4" s="8" t="s">
        <v>210</v>
      </c>
      <c r="E4" s="8" t="s">
        <v>211</v>
      </c>
      <c r="F4" s="8" t="s">
        <v>212</v>
      </c>
    </row>
    <row r="5" customFormat="false" ht="15" hidden="false" customHeight="false" outlineLevel="0" collapsed="false">
      <c r="A5" s="8" t="s">
        <v>213</v>
      </c>
      <c r="B5" s="8" t="n">
        <v>2021</v>
      </c>
      <c r="C5" s="8" t="n">
        <v>2</v>
      </c>
      <c r="D5" s="8" t="s">
        <v>214</v>
      </c>
      <c r="E5" s="8" t="s">
        <v>211</v>
      </c>
      <c r="F5" s="8" t="s">
        <v>212</v>
      </c>
    </row>
    <row r="6" customFormat="false" ht="15" hidden="false" customHeight="false" outlineLevel="0" collapsed="false">
      <c r="A6" s="8" t="s">
        <v>215</v>
      </c>
      <c r="B6" s="8" t="n">
        <v>2021</v>
      </c>
      <c r="C6" s="8" t="n">
        <v>3</v>
      </c>
      <c r="D6" s="8" t="s">
        <v>216</v>
      </c>
      <c r="E6" s="8" t="s">
        <v>211</v>
      </c>
      <c r="F6" s="8" t="s">
        <v>212</v>
      </c>
    </row>
    <row r="7" customFormat="false" ht="15" hidden="false" customHeight="false" outlineLevel="0" collapsed="false">
      <c r="A7" s="8" t="s">
        <v>217</v>
      </c>
      <c r="B7" s="8" t="n">
        <v>2021</v>
      </c>
      <c r="C7" s="8" t="n">
        <v>4</v>
      </c>
      <c r="D7" s="8" t="s">
        <v>218</v>
      </c>
      <c r="E7" s="8" t="s">
        <v>219</v>
      </c>
      <c r="F7" s="8" t="s">
        <v>212</v>
      </c>
    </row>
    <row r="8" customFormat="false" ht="15" hidden="false" customHeight="false" outlineLevel="0" collapsed="false">
      <c r="A8" s="8" t="s">
        <v>220</v>
      </c>
      <c r="B8" s="8" t="n">
        <v>2021</v>
      </c>
      <c r="C8" s="8" t="n">
        <v>5</v>
      </c>
      <c r="D8" s="8" t="s">
        <v>221</v>
      </c>
      <c r="E8" s="8" t="s">
        <v>219</v>
      </c>
      <c r="F8" s="8" t="s">
        <v>212</v>
      </c>
    </row>
    <row r="9" customFormat="false" ht="15" hidden="false" customHeight="false" outlineLevel="0" collapsed="false">
      <c r="A9" s="8" t="s">
        <v>222</v>
      </c>
      <c r="B9" s="8" t="n">
        <v>2021</v>
      </c>
      <c r="C9" s="8" t="n">
        <v>6</v>
      </c>
      <c r="D9" s="8" t="s">
        <v>223</v>
      </c>
      <c r="E9" s="8" t="s">
        <v>219</v>
      </c>
      <c r="F9" s="8" t="s">
        <v>212</v>
      </c>
    </row>
    <row r="10" customFormat="false" ht="15" hidden="false" customHeight="false" outlineLevel="0" collapsed="false">
      <c r="A10" s="8" t="s">
        <v>224</v>
      </c>
      <c r="B10" s="8" t="n">
        <v>2021</v>
      </c>
      <c r="C10" s="8" t="n">
        <v>7</v>
      </c>
      <c r="D10" s="8" t="s">
        <v>225</v>
      </c>
      <c r="E10" s="8" t="s">
        <v>226</v>
      </c>
      <c r="F10" s="8" t="s">
        <v>227</v>
      </c>
    </row>
    <row r="11" customFormat="false" ht="15" hidden="false" customHeight="false" outlineLevel="0" collapsed="false">
      <c r="A11" s="8" t="s">
        <v>228</v>
      </c>
      <c r="B11" s="8" t="n">
        <v>2021</v>
      </c>
      <c r="C11" s="8" t="n">
        <v>8</v>
      </c>
      <c r="D11" s="8" t="s">
        <v>229</v>
      </c>
      <c r="E11" s="8" t="s">
        <v>226</v>
      </c>
      <c r="F11" s="8" t="s">
        <v>227</v>
      </c>
    </row>
    <row r="12" customFormat="false" ht="15" hidden="false" customHeight="false" outlineLevel="0" collapsed="false">
      <c r="A12" s="8" t="s">
        <v>230</v>
      </c>
      <c r="B12" s="8" t="n">
        <v>2021</v>
      </c>
      <c r="C12" s="8" t="n">
        <v>9</v>
      </c>
      <c r="D12" s="8" t="s">
        <v>231</v>
      </c>
      <c r="E12" s="8" t="s">
        <v>226</v>
      </c>
      <c r="F12" s="8" t="s">
        <v>227</v>
      </c>
    </row>
    <row r="13" customFormat="false" ht="15" hidden="false" customHeight="false" outlineLevel="0" collapsed="false">
      <c r="A13" s="8" t="s">
        <v>232</v>
      </c>
      <c r="B13" s="8" t="n">
        <v>2021</v>
      </c>
      <c r="C13" s="8" t="n">
        <v>10</v>
      </c>
      <c r="D13" s="8" t="s">
        <v>233</v>
      </c>
      <c r="E13" s="8" t="s">
        <v>234</v>
      </c>
      <c r="F13" s="8" t="s">
        <v>227</v>
      </c>
    </row>
    <row r="14" customFormat="false" ht="15" hidden="false" customHeight="false" outlineLevel="0" collapsed="false">
      <c r="A14" s="8" t="s">
        <v>235</v>
      </c>
      <c r="B14" s="8" t="n">
        <v>2021</v>
      </c>
      <c r="C14" s="8" t="n">
        <v>11</v>
      </c>
      <c r="D14" s="8" t="s">
        <v>236</v>
      </c>
      <c r="E14" s="8" t="s">
        <v>234</v>
      </c>
      <c r="F14" s="8" t="s">
        <v>227</v>
      </c>
    </row>
    <row r="15" customFormat="false" ht="15" hidden="false" customHeight="false" outlineLevel="0" collapsed="false">
      <c r="A15" s="8" t="s">
        <v>237</v>
      </c>
      <c r="B15" s="8" t="n">
        <v>2021</v>
      </c>
      <c r="C15" s="8" t="n">
        <v>12</v>
      </c>
      <c r="D15" s="8" t="s">
        <v>238</v>
      </c>
      <c r="E15" s="8" t="s">
        <v>234</v>
      </c>
      <c r="F15" s="8" t="s">
        <v>227</v>
      </c>
    </row>
    <row r="16" customFormat="false" ht="15" hidden="false" customHeight="false" outlineLevel="0" collapsed="false">
      <c r="A16" s="8" t="s">
        <v>239</v>
      </c>
      <c r="B16" s="8" t="n">
        <v>2022</v>
      </c>
      <c r="C16" s="8" t="n">
        <v>1</v>
      </c>
      <c r="D16" s="8" t="s">
        <v>210</v>
      </c>
      <c r="E16" s="8" t="s">
        <v>211</v>
      </c>
      <c r="F16" s="8" t="s">
        <v>212</v>
      </c>
    </row>
    <row r="17" customFormat="false" ht="15" hidden="false" customHeight="false" outlineLevel="0" collapsed="false">
      <c r="A17" s="8" t="s">
        <v>240</v>
      </c>
      <c r="B17" s="8" t="n">
        <v>2022</v>
      </c>
      <c r="C17" s="8" t="n">
        <v>2</v>
      </c>
      <c r="D17" s="8" t="s">
        <v>214</v>
      </c>
      <c r="E17" s="8" t="s">
        <v>211</v>
      </c>
      <c r="F17" s="8" t="s">
        <v>212</v>
      </c>
    </row>
    <row r="18" customFormat="false" ht="15" hidden="false" customHeight="false" outlineLevel="0" collapsed="false">
      <c r="A18" s="8" t="s">
        <v>241</v>
      </c>
      <c r="B18" s="8" t="n">
        <v>2022</v>
      </c>
      <c r="C18" s="8" t="n">
        <v>3</v>
      </c>
      <c r="D18" s="8" t="s">
        <v>216</v>
      </c>
      <c r="E18" s="8" t="s">
        <v>211</v>
      </c>
      <c r="F18" s="8" t="s">
        <v>212</v>
      </c>
    </row>
    <row r="19" customFormat="false" ht="15" hidden="false" customHeight="false" outlineLevel="0" collapsed="false">
      <c r="A19" s="8" t="s">
        <v>242</v>
      </c>
      <c r="B19" s="8" t="n">
        <v>2022</v>
      </c>
      <c r="C19" s="8" t="n">
        <v>4</v>
      </c>
      <c r="D19" s="8" t="s">
        <v>218</v>
      </c>
      <c r="E19" s="8" t="s">
        <v>219</v>
      </c>
      <c r="F19" s="8" t="s">
        <v>212</v>
      </c>
    </row>
    <row r="20" customFormat="false" ht="15" hidden="false" customHeight="false" outlineLevel="0" collapsed="false">
      <c r="A20" s="8" t="s">
        <v>243</v>
      </c>
      <c r="B20" s="8" t="n">
        <v>2022</v>
      </c>
      <c r="C20" s="8" t="n">
        <v>5</v>
      </c>
      <c r="D20" s="8" t="s">
        <v>221</v>
      </c>
      <c r="E20" s="8" t="s">
        <v>219</v>
      </c>
      <c r="F20" s="8" t="s">
        <v>212</v>
      </c>
    </row>
    <row r="21" customFormat="false" ht="15" hidden="false" customHeight="false" outlineLevel="0" collapsed="false">
      <c r="A21" s="8" t="s">
        <v>244</v>
      </c>
      <c r="B21" s="8" t="n">
        <v>2022</v>
      </c>
      <c r="C21" s="8" t="n">
        <v>6</v>
      </c>
      <c r="D21" s="8" t="s">
        <v>223</v>
      </c>
      <c r="E21" s="8" t="s">
        <v>219</v>
      </c>
      <c r="F21" s="8" t="s">
        <v>212</v>
      </c>
    </row>
    <row r="22" customFormat="false" ht="15" hidden="false" customHeight="false" outlineLevel="0" collapsed="false">
      <c r="A22" s="8" t="s">
        <v>245</v>
      </c>
      <c r="B22" s="8" t="n">
        <v>2022</v>
      </c>
      <c r="C22" s="8" t="n">
        <v>7</v>
      </c>
      <c r="D22" s="8" t="s">
        <v>225</v>
      </c>
      <c r="E22" s="8" t="s">
        <v>226</v>
      </c>
      <c r="F22" s="8" t="s">
        <v>227</v>
      </c>
    </row>
    <row r="23" customFormat="false" ht="15" hidden="false" customHeight="false" outlineLevel="0" collapsed="false">
      <c r="A23" s="8" t="s">
        <v>246</v>
      </c>
      <c r="B23" s="8" t="n">
        <v>2022</v>
      </c>
      <c r="C23" s="8" t="n">
        <v>8</v>
      </c>
      <c r="D23" s="8" t="s">
        <v>229</v>
      </c>
      <c r="E23" s="8" t="s">
        <v>226</v>
      </c>
      <c r="F23" s="8" t="s">
        <v>227</v>
      </c>
    </row>
    <row r="24" customFormat="false" ht="15" hidden="false" customHeight="false" outlineLevel="0" collapsed="false">
      <c r="A24" s="8" t="s">
        <v>247</v>
      </c>
      <c r="B24" s="8" t="n">
        <v>2022</v>
      </c>
      <c r="C24" s="8" t="n">
        <v>9</v>
      </c>
      <c r="D24" s="8" t="s">
        <v>231</v>
      </c>
      <c r="E24" s="8" t="s">
        <v>226</v>
      </c>
      <c r="F24" s="8" t="s">
        <v>227</v>
      </c>
    </row>
    <row r="25" customFormat="false" ht="15" hidden="false" customHeight="false" outlineLevel="0" collapsed="false">
      <c r="A25" s="8" t="s">
        <v>248</v>
      </c>
      <c r="B25" s="8" t="n">
        <v>2022</v>
      </c>
      <c r="C25" s="8" t="n">
        <v>10</v>
      </c>
      <c r="D25" s="8" t="s">
        <v>233</v>
      </c>
      <c r="E25" s="8" t="s">
        <v>234</v>
      </c>
      <c r="F25" s="8" t="s">
        <v>227</v>
      </c>
    </row>
    <row r="26" customFormat="false" ht="15" hidden="false" customHeight="false" outlineLevel="0" collapsed="false">
      <c r="A26" s="8" t="s">
        <v>249</v>
      </c>
      <c r="B26" s="8" t="n">
        <v>2022</v>
      </c>
      <c r="C26" s="8" t="n">
        <v>11</v>
      </c>
      <c r="D26" s="8" t="s">
        <v>236</v>
      </c>
      <c r="E26" s="8" t="s">
        <v>234</v>
      </c>
      <c r="F26" s="8" t="s">
        <v>227</v>
      </c>
    </row>
    <row r="27" customFormat="false" ht="15" hidden="false" customHeight="false" outlineLevel="0" collapsed="false">
      <c r="A27" s="8" t="s">
        <v>250</v>
      </c>
      <c r="B27" s="8" t="n">
        <v>2022</v>
      </c>
      <c r="C27" s="8" t="n">
        <v>12</v>
      </c>
      <c r="D27" s="8" t="s">
        <v>238</v>
      </c>
      <c r="E27" s="8" t="s">
        <v>234</v>
      </c>
      <c r="F27" s="8" t="s">
        <v>227</v>
      </c>
    </row>
    <row r="28" customFormat="false" ht="15" hidden="false" customHeight="false" outlineLevel="0" collapsed="false">
      <c r="A28" s="8" t="s">
        <v>251</v>
      </c>
      <c r="B28" s="8" t="n">
        <v>2023</v>
      </c>
      <c r="C28" s="8" t="n">
        <v>1</v>
      </c>
      <c r="D28" s="8" t="s">
        <v>210</v>
      </c>
      <c r="E28" s="8" t="s">
        <v>211</v>
      </c>
      <c r="F28" s="8" t="s">
        <v>212</v>
      </c>
    </row>
    <row r="29" customFormat="false" ht="15" hidden="false" customHeight="false" outlineLevel="0" collapsed="false">
      <c r="A29" s="8" t="s">
        <v>252</v>
      </c>
      <c r="B29" s="8" t="n">
        <v>2023</v>
      </c>
      <c r="C29" s="8" t="n">
        <v>2</v>
      </c>
      <c r="D29" s="8" t="s">
        <v>214</v>
      </c>
      <c r="E29" s="8" t="s">
        <v>211</v>
      </c>
      <c r="F29" s="8" t="s">
        <v>212</v>
      </c>
    </row>
    <row r="30" customFormat="false" ht="15" hidden="false" customHeight="false" outlineLevel="0" collapsed="false">
      <c r="A30" s="8" t="s">
        <v>253</v>
      </c>
      <c r="B30" s="8" t="n">
        <v>2023</v>
      </c>
      <c r="C30" s="8" t="n">
        <v>3</v>
      </c>
      <c r="D30" s="8" t="s">
        <v>216</v>
      </c>
      <c r="E30" s="8" t="s">
        <v>211</v>
      </c>
      <c r="F30" s="8" t="s">
        <v>212</v>
      </c>
    </row>
    <row r="31" customFormat="false" ht="15" hidden="false" customHeight="false" outlineLevel="0" collapsed="false">
      <c r="A31" s="8" t="s">
        <v>254</v>
      </c>
      <c r="B31" s="8" t="n">
        <v>2023</v>
      </c>
      <c r="C31" s="8" t="n">
        <v>4</v>
      </c>
      <c r="D31" s="8" t="s">
        <v>218</v>
      </c>
      <c r="E31" s="8" t="s">
        <v>219</v>
      </c>
      <c r="F31" s="8" t="s">
        <v>212</v>
      </c>
    </row>
    <row r="32" customFormat="false" ht="15" hidden="false" customHeight="false" outlineLevel="0" collapsed="false">
      <c r="A32" s="8" t="s">
        <v>255</v>
      </c>
      <c r="B32" s="8" t="n">
        <v>2023</v>
      </c>
      <c r="C32" s="8" t="n">
        <v>5</v>
      </c>
      <c r="D32" s="8" t="s">
        <v>221</v>
      </c>
      <c r="E32" s="8" t="s">
        <v>219</v>
      </c>
      <c r="F32" s="8" t="s">
        <v>212</v>
      </c>
    </row>
    <row r="33" customFormat="false" ht="15" hidden="false" customHeight="false" outlineLevel="0" collapsed="false">
      <c r="A33" s="8" t="s">
        <v>256</v>
      </c>
      <c r="B33" s="8" t="n">
        <v>2023</v>
      </c>
      <c r="C33" s="8" t="n">
        <v>6</v>
      </c>
      <c r="D33" s="8" t="s">
        <v>223</v>
      </c>
      <c r="E33" s="8" t="s">
        <v>219</v>
      </c>
      <c r="F33" s="8" t="s">
        <v>212</v>
      </c>
    </row>
    <row r="34" customFormat="false" ht="15" hidden="false" customHeight="false" outlineLevel="0" collapsed="false">
      <c r="A34" s="8" t="s">
        <v>257</v>
      </c>
      <c r="B34" s="8" t="n">
        <v>2023</v>
      </c>
      <c r="C34" s="8" t="n">
        <v>7</v>
      </c>
      <c r="D34" s="8" t="s">
        <v>225</v>
      </c>
      <c r="E34" s="8" t="s">
        <v>226</v>
      </c>
      <c r="F34" s="8" t="s">
        <v>227</v>
      </c>
    </row>
    <row r="35" customFormat="false" ht="15" hidden="false" customHeight="false" outlineLevel="0" collapsed="false">
      <c r="A35" s="8" t="s">
        <v>258</v>
      </c>
      <c r="B35" s="8" t="n">
        <v>2023</v>
      </c>
      <c r="C35" s="8" t="n">
        <v>8</v>
      </c>
      <c r="D35" s="8" t="s">
        <v>229</v>
      </c>
      <c r="E35" s="8" t="s">
        <v>226</v>
      </c>
      <c r="F35" s="8" t="s">
        <v>227</v>
      </c>
    </row>
    <row r="36" customFormat="false" ht="15" hidden="false" customHeight="false" outlineLevel="0" collapsed="false">
      <c r="A36" s="8" t="s">
        <v>259</v>
      </c>
      <c r="B36" s="8" t="n">
        <v>2023</v>
      </c>
      <c r="C36" s="8" t="n">
        <v>9</v>
      </c>
      <c r="D36" s="8" t="s">
        <v>231</v>
      </c>
      <c r="E36" s="8" t="s">
        <v>226</v>
      </c>
      <c r="F36" s="8" t="s">
        <v>227</v>
      </c>
    </row>
    <row r="37" customFormat="false" ht="15" hidden="false" customHeight="false" outlineLevel="0" collapsed="false">
      <c r="A37" s="8" t="s">
        <v>260</v>
      </c>
      <c r="B37" s="8" t="n">
        <v>2023</v>
      </c>
      <c r="C37" s="8" t="n">
        <v>10</v>
      </c>
      <c r="D37" s="8" t="s">
        <v>233</v>
      </c>
      <c r="E37" s="8" t="s">
        <v>234</v>
      </c>
      <c r="F37" s="8" t="s">
        <v>227</v>
      </c>
    </row>
    <row r="38" customFormat="false" ht="15" hidden="false" customHeight="false" outlineLevel="0" collapsed="false">
      <c r="A38" s="8" t="s">
        <v>261</v>
      </c>
      <c r="B38" s="8" t="n">
        <v>2023</v>
      </c>
      <c r="C38" s="8" t="n">
        <v>11</v>
      </c>
      <c r="D38" s="8" t="s">
        <v>236</v>
      </c>
      <c r="E38" s="8" t="s">
        <v>234</v>
      </c>
      <c r="F38" s="8" t="s">
        <v>227</v>
      </c>
    </row>
    <row r="39" customFormat="false" ht="15" hidden="false" customHeight="false" outlineLevel="0" collapsed="false">
      <c r="A39" s="8" t="s">
        <v>262</v>
      </c>
      <c r="B39" s="8" t="n">
        <v>2023</v>
      </c>
      <c r="C39" s="8" t="n">
        <v>12</v>
      </c>
      <c r="D39" s="8" t="s">
        <v>238</v>
      </c>
      <c r="E39" s="8" t="s">
        <v>234</v>
      </c>
      <c r="F39" s="8" t="s">
        <v>227</v>
      </c>
    </row>
    <row r="40" customFormat="false" ht="15" hidden="false" customHeight="false" outlineLevel="0" collapsed="false">
      <c r="A40" s="8" t="s">
        <v>263</v>
      </c>
      <c r="B40" s="8" t="n">
        <v>2024</v>
      </c>
      <c r="C40" s="8" t="n">
        <v>1</v>
      </c>
      <c r="D40" s="8" t="s">
        <v>210</v>
      </c>
      <c r="E40" s="8" t="s">
        <v>211</v>
      </c>
      <c r="F40" s="8" t="s">
        <v>212</v>
      </c>
    </row>
    <row r="41" customFormat="false" ht="15" hidden="false" customHeight="false" outlineLevel="0" collapsed="false">
      <c r="A41" s="8" t="s">
        <v>264</v>
      </c>
      <c r="B41" s="8" t="n">
        <v>2024</v>
      </c>
      <c r="C41" s="8" t="n">
        <v>2</v>
      </c>
      <c r="D41" s="8" t="s">
        <v>214</v>
      </c>
      <c r="E41" s="8" t="s">
        <v>211</v>
      </c>
      <c r="F41" s="8" t="s">
        <v>212</v>
      </c>
    </row>
    <row r="42" customFormat="false" ht="15" hidden="false" customHeight="false" outlineLevel="0" collapsed="false">
      <c r="A42" s="8" t="s">
        <v>265</v>
      </c>
      <c r="B42" s="8" t="n">
        <v>2024</v>
      </c>
      <c r="C42" s="8" t="n">
        <v>3</v>
      </c>
      <c r="D42" s="8" t="s">
        <v>216</v>
      </c>
      <c r="E42" s="8" t="s">
        <v>211</v>
      </c>
      <c r="F42" s="8" t="s">
        <v>212</v>
      </c>
    </row>
    <row r="43" customFormat="false" ht="15" hidden="false" customHeight="false" outlineLevel="0" collapsed="false">
      <c r="A43" s="8" t="s">
        <v>266</v>
      </c>
      <c r="B43" s="8" t="n">
        <v>2024</v>
      </c>
      <c r="C43" s="8" t="n">
        <v>4</v>
      </c>
      <c r="D43" s="8" t="s">
        <v>218</v>
      </c>
      <c r="E43" s="8" t="s">
        <v>219</v>
      </c>
      <c r="F43" s="8" t="s">
        <v>212</v>
      </c>
    </row>
    <row r="44" customFormat="false" ht="15" hidden="false" customHeight="false" outlineLevel="0" collapsed="false">
      <c r="A44" s="8" t="s">
        <v>267</v>
      </c>
      <c r="B44" s="8" t="n">
        <v>2024</v>
      </c>
      <c r="C44" s="8" t="n">
        <v>5</v>
      </c>
      <c r="D44" s="8" t="s">
        <v>221</v>
      </c>
      <c r="E44" s="8" t="s">
        <v>219</v>
      </c>
      <c r="F44" s="8" t="s">
        <v>212</v>
      </c>
    </row>
    <row r="45" customFormat="false" ht="15" hidden="false" customHeight="false" outlineLevel="0" collapsed="false">
      <c r="A45" s="8" t="s">
        <v>268</v>
      </c>
      <c r="B45" s="8" t="n">
        <v>2024</v>
      </c>
      <c r="C45" s="8" t="n">
        <v>6</v>
      </c>
      <c r="D45" s="8" t="s">
        <v>223</v>
      </c>
      <c r="E45" s="8" t="s">
        <v>219</v>
      </c>
      <c r="F45" s="8" t="s">
        <v>212</v>
      </c>
    </row>
    <row r="46" customFormat="false" ht="15" hidden="false" customHeight="false" outlineLevel="0" collapsed="false">
      <c r="A46" s="8" t="s">
        <v>269</v>
      </c>
      <c r="B46" s="8" t="n">
        <v>2024</v>
      </c>
      <c r="C46" s="8" t="n">
        <v>7</v>
      </c>
      <c r="D46" s="8" t="s">
        <v>225</v>
      </c>
      <c r="E46" s="8" t="s">
        <v>226</v>
      </c>
      <c r="F46" s="8" t="s">
        <v>227</v>
      </c>
    </row>
    <row r="47" customFormat="false" ht="15" hidden="false" customHeight="false" outlineLevel="0" collapsed="false">
      <c r="A47" s="8" t="s">
        <v>270</v>
      </c>
      <c r="B47" s="8" t="n">
        <v>2024</v>
      </c>
      <c r="C47" s="8" t="n">
        <v>8</v>
      </c>
      <c r="D47" s="8" t="s">
        <v>229</v>
      </c>
      <c r="E47" s="8" t="s">
        <v>226</v>
      </c>
      <c r="F47" s="8" t="s">
        <v>227</v>
      </c>
    </row>
    <row r="48" customFormat="false" ht="15" hidden="false" customHeight="false" outlineLevel="0" collapsed="false">
      <c r="A48" s="8" t="s">
        <v>271</v>
      </c>
      <c r="B48" s="8" t="n">
        <v>2024</v>
      </c>
      <c r="C48" s="8" t="n">
        <v>9</v>
      </c>
      <c r="D48" s="8" t="s">
        <v>231</v>
      </c>
      <c r="E48" s="8" t="s">
        <v>226</v>
      </c>
      <c r="F48" s="8" t="s">
        <v>227</v>
      </c>
    </row>
    <row r="49" customFormat="false" ht="15" hidden="false" customHeight="false" outlineLevel="0" collapsed="false">
      <c r="A49" s="8" t="s">
        <v>272</v>
      </c>
      <c r="B49" s="8" t="n">
        <v>2024</v>
      </c>
      <c r="C49" s="8" t="n">
        <v>10</v>
      </c>
      <c r="D49" s="8" t="s">
        <v>233</v>
      </c>
      <c r="E49" s="8" t="s">
        <v>234</v>
      </c>
      <c r="F49" s="8" t="s">
        <v>227</v>
      </c>
    </row>
    <row r="50" customFormat="false" ht="15" hidden="false" customHeight="false" outlineLevel="0" collapsed="false">
      <c r="A50" s="8" t="s">
        <v>273</v>
      </c>
      <c r="B50" s="8" t="n">
        <v>2024</v>
      </c>
      <c r="C50" s="8" t="n">
        <v>11</v>
      </c>
      <c r="D50" s="8" t="s">
        <v>236</v>
      </c>
      <c r="E50" s="8" t="s">
        <v>234</v>
      </c>
      <c r="F50" s="8" t="s">
        <v>227</v>
      </c>
    </row>
    <row r="51" customFormat="false" ht="15" hidden="false" customHeight="false" outlineLevel="0" collapsed="false">
      <c r="A51" s="8" t="s">
        <v>274</v>
      </c>
      <c r="B51" s="8" t="n">
        <v>2024</v>
      </c>
      <c r="C51" s="8" t="n">
        <v>12</v>
      </c>
      <c r="D51" s="8" t="s">
        <v>238</v>
      </c>
      <c r="E51" s="8" t="s">
        <v>234</v>
      </c>
      <c r="F51" s="8" t="s">
        <v>227</v>
      </c>
    </row>
    <row r="52" customFormat="false" ht="15" hidden="false" customHeight="false" outlineLevel="0" collapsed="false">
      <c r="A52" s="8" t="s">
        <v>275</v>
      </c>
      <c r="B52" s="8" t="n">
        <v>2025</v>
      </c>
      <c r="C52" s="8" t="n">
        <v>1</v>
      </c>
      <c r="D52" s="8" t="s">
        <v>210</v>
      </c>
      <c r="E52" s="8" t="s">
        <v>211</v>
      </c>
      <c r="F52" s="8" t="s">
        <v>212</v>
      </c>
    </row>
    <row r="53" customFormat="false" ht="15" hidden="false" customHeight="false" outlineLevel="0" collapsed="false">
      <c r="A53" s="8" t="s">
        <v>276</v>
      </c>
      <c r="B53" s="8" t="n">
        <v>2025</v>
      </c>
      <c r="C53" s="8" t="n">
        <v>2</v>
      </c>
      <c r="D53" s="8" t="s">
        <v>214</v>
      </c>
      <c r="E53" s="8" t="s">
        <v>211</v>
      </c>
      <c r="F53" s="8" t="s">
        <v>212</v>
      </c>
    </row>
    <row r="54" customFormat="false" ht="15" hidden="false" customHeight="false" outlineLevel="0" collapsed="false">
      <c r="A54" s="8" t="s">
        <v>277</v>
      </c>
      <c r="B54" s="8" t="n">
        <v>2025</v>
      </c>
      <c r="C54" s="8" t="n">
        <v>3</v>
      </c>
      <c r="D54" s="8" t="s">
        <v>216</v>
      </c>
      <c r="E54" s="8" t="s">
        <v>211</v>
      </c>
      <c r="F54" s="8" t="s">
        <v>212</v>
      </c>
    </row>
    <row r="55" customFormat="false" ht="15" hidden="false" customHeight="false" outlineLevel="0" collapsed="false">
      <c r="A55" s="8" t="s">
        <v>278</v>
      </c>
      <c r="B55" s="8" t="n">
        <v>2025</v>
      </c>
      <c r="C55" s="8" t="n">
        <v>4</v>
      </c>
      <c r="D55" s="8" t="s">
        <v>218</v>
      </c>
      <c r="E55" s="8" t="s">
        <v>219</v>
      </c>
      <c r="F55" s="8" t="s">
        <v>212</v>
      </c>
    </row>
    <row r="56" customFormat="false" ht="15" hidden="false" customHeight="false" outlineLevel="0" collapsed="false">
      <c r="A56" s="8" t="s">
        <v>279</v>
      </c>
      <c r="B56" s="8" t="n">
        <v>2025</v>
      </c>
      <c r="C56" s="8" t="n">
        <v>5</v>
      </c>
      <c r="D56" s="8" t="s">
        <v>221</v>
      </c>
      <c r="E56" s="8" t="s">
        <v>219</v>
      </c>
      <c r="F56" s="8" t="s">
        <v>212</v>
      </c>
    </row>
    <row r="57" customFormat="false" ht="15" hidden="false" customHeight="false" outlineLevel="0" collapsed="false">
      <c r="A57" s="8" t="s">
        <v>280</v>
      </c>
      <c r="B57" s="8" t="n">
        <v>2025</v>
      </c>
      <c r="C57" s="8" t="n">
        <v>6</v>
      </c>
      <c r="D57" s="8" t="s">
        <v>223</v>
      </c>
      <c r="E57" s="8" t="s">
        <v>219</v>
      </c>
      <c r="F57" s="8" t="s">
        <v>212</v>
      </c>
    </row>
    <row r="58" customFormat="false" ht="15" hidden="false" customHeight="false" outlineLevel="0" collapsed="false">
      <c r="A58" s="8" t="s">
        <v>281</v>
      </c>
      <c r="B58" s="8" t="n">
        <v>2025</v>
      </c>
      <c r="C58" s="8" t="n">
        <v>7</v>
      </c>
      <c r="D58" s="8" t="s">
        <v>225</v>
      </c>
      <c r="E58" s="8" t="s">
        <v>226</v>
      </c>
      <c r="F58" s="8" t="s">
        <v>227</v>
      </c>
    </row>
    <row r="59" customFormat="false" ht="15" hidden="false" customHeight="false" outlineLevel="0" collapsed="false">
      <c r="A59" s="8" t="s">
        <v>282</v>
      </c>
      <c r="B59" s="8" t="n">
        <v>2025</v>
      </c>
      <c r="C59" s="8" t="n">
        <v>8</v>
      </c>
      <c r="D59" s="8" t="s">
        <v>229</v>
      </c>
      <c r="E59" s="8" t="s">
        <v>226</v>
      </c>
      <c r="F59" s="8" t="s">
        <v>227</v>
      </c>
    </row>
    <row r="60" customFormat="false" ht="15" hidden="false" customHeight="false" outlineLevel="0" collapsed="false">
      <c r="A60" s="8" t="s">
        <v>283</v>
      </c>
      <c r="B60" s="8" t="n">
        <v>2025</v>
      </c>
      <c r="C60" s="8" t="n">
        <v>9</v>
      </c>
      <c r="D60" s="8" t="s">
        <v>231</v>
      </c>
      <c r="E60" s="8" t="s">
        <v>226</v>
      </c>
      <c r="F60" s="8" t="s">
        <v>227</v>
      </c>
    </row>
    <row r="61" customFormat="false" ht="15" hidden="false" customHeight="false" outlineLevel="0" collapsed="false">
      <c r="A61" s="8" t="s">
        <v>284</v>
      </c>
      <c r="B61" s="8" t="n">
        <v>2025</v>
      </c>
      <c r="C61" s="8" t="n">
        <v>10</v>
      </c>
      <c r="D61" s="8" t="s">
        <v>233</v>
      </c>
      <c r="E61" s="8" t="s">
        <v>234</v>
      </c>
      <c r="F61" s="8" t="s">
        <v>227</v>
      </c>
    </row>
    <row r="62" customFormat="false" ht="15" hidden="false" customHeight="false" outlineLevel="0" collapsed="false">
      <c r="A62" s="8" t="s">
        <v>285</v>
      </c>
      <c r="B62" s="8" t="n">
        <v>2025</v>
      </c>
      <c r="C62" s="8" t="n">
        <v>11</v>
      </c>
      <c r="D62" s="8" t="s">
        <v>236</v>
      </c>
      <c r="E62" s="8" t="s">
        <v>234</v>
      </c>
      <c r="F62" s="8" t="s">
        <v>227</v>
      </c>
    </row>
    <row r="63" customFormat="false" ht="15" hidden="false" customHeight="false" outlineLevel="0" collapsed="false">
      <c r="A63" s="8" t="s">
        <v>286</v>
      </c>
      <c r="B63" s="8" t="n">
        <v>2025</v>
      </c>
      <c r="C63" s="8" t="n">
        <v>12</v>
      </c>
      <c r="D63" s="8" t="s">
        <v>238</v>
      </c>
      <c r="E63" s="8" t="s">
        <v>234</v>
      </c>
      <c r="F63" s="8" t="s">
        <v>227</v>
      </c>
    </row>
    <row r="64" customFormat="false" ht="15" hidden="false" customHeight="false" outlineLevel="0" collapsed="false">
      <c r="A64" s="8" t="s">
        <v>287</v>
      </c>
      <c r="B64" s="8" t="n">
        <v>2026</v>
      </c>
      <c r="C64" s="8" t="n">
        <v>1</v>
      </c>
      <c r="D64" s="8" t="s">
        <v>210</v>
      </c>
      <c r="E64" s="8" t="s">
        <v>211</v>
      </c>
      <c r="F64" s="8" t="s">
        <v>212</v>
      </c>
    </row>
    <row r="65" customFormat="false" ht="15" hidden="false" customHeight="false" outlineLevel="0" collapsed="false">
      <c r="A65" s="8" t="s">
        <v>288</v>
      </c>
      <c r="B65" s="8" t="n">
        <v>2026</v>
      </c>
      <c r="C65" s="8" t="n">
        <v>2</v>
      </c>
      <c r="D65" s="8" t="s">
        <v>214</v>
      </c>
      <c r="E65" s="8" t="s">
        <v>211</v>
      </c>
      <c r="F65" s="8" t="s">
        <v>212</v>
      </c>
    </row>
    <row r="66" customFormat="false" ht="15" hidden="false" customHeight="false" outlineLevel="0" collapsed="false">
      <c r="A66" s="8" t="s">
        <v>289</v>
      </c>
      <c r="B66" s="8" t="n">
        <v>2026</v>
      </c>
      <c r="C66" s="8" t="n">
        <v>3</v>
      </c>
      <c r="D66" s="8" t="s">
        <v>216</v>
      </c>
      <c r="E66" s="8" t="s">
        <v>211</v>
      </c>
      <c r="F66" s="8" t="s">
        <v>212</v>
      </c>
    </row>
    <row r="67" customFormat="false" ht="15" hidden="false" customHeight="false" outlineLevel="0" collapsed="false">
      <c r="A67" s="8" t="s">
        <v>290</v>
      </c>
      <c r="B67" s="8" t="n">
        <v>2026</v>
      </c>
      <c r="C67" s="8" t="n">
        <v>4</v>
      </c>
      <c r="D67" s="8" t="s">
        <v>218</v>
      </c>
      <c r="E67" s="8" t="s">
        <v>219</v>
      </c>
      <c r="F67" s="8" t="s">
        <v>212</v>
      </c>
    </row>
    <row r="68" customFormat="false" ht="15" hidden="false" customHeight="false" outlineLevel="0" collapsed="false">
      <c r="A68" s="8" t="s">
        <v>291</v>
      </c>
      <c r="B68" s="8" t="n">
        <v>2026</v>
      </c>
      <c r="C68" s="8" t="n">
        <v>5</v>
      </c>
      <c r="D68" s="8" t="s">
        <v>221</v>
      </c>
      <c r="E68" s="8" t="s">
        <v>219</v>
      </c>
      <c r="F68" s="8" t="s">
        <v>212</v>
      </c>
    </row>
    <row r="69" customFormat="false" ht="15" hidden="false" customHeight="false" outlineLevel="0" collapsed="false">
      <c r="A69" s="8" t="s">
        <v>292</v>
      </c>
      <c r="B69" s="8" t="n">
        <v>2026</v>
      </c>
      <c r="C69" s="8" t="n">
        <v>6</v>
      </c>
      <c r="D69" s="8" t="s">
        <v>223</v>
      </c>
      <c r="E69" s="8" t="s">
        <v>219</v>
      </c>
      <c r="F69" s="8" t="s">
        <v>212</v>
      </c>
    </row>
    <row r="70" customFormat="false" ht="15" hidden="false" customHeight="false" outlineLevel="0" collapsed="false">
      <c r="A70" s="8" t="s">
        <v>293</v>
      </c>
      <c r="B70" s="8" t="n">
        <v>2026</v>
      </c>
      <c r="C70" s="8" t="n">
        <v>7</v>
      </c>
      <c r="D70" s="8" t="s">
        <v>225</v>
      </c>
      <c r="E70" s="8" t="s">
        <v>226</v>
      </c>
      <c r="F70" s="8" t="s">
        <v>227</v>
      </c>
    </row>
    <row r="71" customFormat="false" ht="15" hidden="false" customHeight="false" outlineLevel="0" collapsed="false">
      <c r="A71" s="8" t="s">
        <v>294</v>
      </c>
      <c r="B71" s="8" t="n">
        <v>2026</v>
      </c>
      <c r="C71" s="8" t="n">
        <v>8</v>
      </c>
      <c r="D71" s="8" t="s">
        <v>229</v>
      </c>
      <c r="E71" s="8" t="s">
        <v>226</v>
      </c>
      <c r="F71" s="8" t="s">
        <v>227</v>
      </c>
    </row>
    <row r="72" customFormat="false" ht="15" hidden="false" customHeight="false" outlineLevel="0" collapsed="false">
      <c r="A72" s="8" t="s">
        <v>295</v>
      </c>
      <c r="B72" s="8" t="n">
        <v>2026</v>
      </c>
      <c r="C72" s="8" t="n">
        <v>9</v>
      </c>
      <c r="D72" s="8" t="s">
        <v>231</v>
      </c>
      <c r="E72" s="8" t="s">
        <v>226</v>
      </c>
      <c r="F72" s="8" t="s">
        <v>227</v>
      </c>
    </row>
    <row r="73" customFormat="false" ht="15" hidden="false" customHeight="false" outlineLevel="0" collapsed="false">
      <c r="A73" s="8" t="s">
        <v>296</v>
      </c>
      <c r="B73" s="8" t="n">
        <v>2026</v>
      </c>
      <c r="C73" s="8" t="n">
        <v>10</v>
      </c>
      <c r="D73" s="8" t="s">
        <v>233</v>
      </c>
      <c r="E73" s="8" t="s">
        <v>234</v>
      </c>
      <c r="F73" s="8" t="s">
        <v>227</v>
      </c>
    </row>
    <row r="74" customFormat="false" ht="15" hidden="false" customHeight="false" outlineLevel="0" collapsed="false">
      <c r="A74" s="8" t="s">
        <v>297</v>
      </c>
      <c r="B74" s="8" t="n">
        <v>2026</v>
      </c>
      <c r="C74" s="8" t="n">
        <v>11</v>
      </c>
      <c r="D74" s="8" t="s">
        <v>236</v>
      </c>
      <c r="E74" s="8" t="s">
        <v>234</v>
      </c>
      <c r="F74" s="8" t="s">
        <v>227</v>
      </c>
    </row>
    <row r="75" customFormat="false" ht="15" hidden="false" customHeight="false" outlineLevel="0" collapsed="false">
      <c r="A75" s="8" t="s">
        <v>298</v>
      </c>
      <c r="B75" s="8" t="n">
        <v>2026</v>
      </c>
      <c r="C75" s="8" t="n">
        <v>12</v>
      </c>
      <c r="D75" s="8" t="s">
        <v>238</v>
      </c>
      <c r="E75" s="8" t="s">
        <v>234</v>
      </c>
      <c r="F75" s="8" t="s">
        <v>227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7"/>
    <col collapsed="false" customWidth="true" hidden="false" outlineLevel="0" max="3" min="3" style="0" width="6"/>
    <col collapsed="false" customWidth="true" hidden="false" outlineLevel="0" max="6" min="4" style="0" width="10"/>
    <col collapsed="false" customWidth="true" hidden="false" outlineLevel="0" max="7" min="7" style="0" width="12"/>
    <col collapsed="false" customWidth="true" hidden="false" outlineLevel="0" max="9" min="8" style="0" width="20"/>
    <col collapsed="false" customWidth="true" hidden="false" outlineLevel="0" max="14" min="10" style="0" width="15"/>
    <col collapsed="false" customWidth="true" hidden="false" outlineLevel="0" max="15" min="15" style="0" width="14"/>
    <col collapsed="false" customWidth="true" hidden="false" outlineLevel="0" max="16" min="16" style="0" width="44"/>
  </cols>
  <sheetData>
    <row r="1" customFormat="false" ht="25.5" hidden="false" customHeight="true" outlineLevel="0" collapsed="false">
      <c r="A1" s="1" t="s">
        <v>299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5.75" hidden="false" customHeight="true" outlineLevel="0" collapsed="false">
      <c r="A2" s="2" t="s">
        <v>300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customFormat="false" ht="35.05" hidden="false" customHeight="false" outlineLevel="0" collapsed="false">
      <c r="A3" s="5" t="s">
        <v>84</v>
      </c>
      <c r="B3" s="5" t="s">
        <v>204</v>
      </c>
      <c r="C3" s="5" t="s">
        <v>205</v>
      </c>
      <c r="D3" s="5" t="s">
        <v>48</v>
      </c>
      <c r="E3" s="5" t="s">
        <v>63</v>
      </c>
      <c r="F3" s="5" t="s">
        <v>72</v>
      </c>
      <c r="G3" s="5" t="s">
        <v>76</v>
      </c>
      <c r="H3" s="5" t="s">
        <v>96</v>
      </c>
      <c r="I3" s="5" t="s">
        <v>99</v>
      </c>
      <c r="J3" s="5" t="s">
        <v>301</v>
      </c>
      <c r="K3" s="5" t="s">
        <v>302</v>
      </c>
      <c r="L3" s="5" t="s">
        <v>303</v>
      </c>
      <c r="M3" s="5" t="s">
        <v>304</v>
      </c>
      <c r="N3" s="5" t="s">
        <v>305</v>
      </c>
      <c r="O3" s="5" t="s">
        <v>306</v>
      </c>
      <c r="P3" s="5" t="s">
        <v>307</v>
      </c>
    </row>
    <row r="4" customFormat="false" ht="45.75" hidden="false" customHeight="true" outlineLevel="0" collapsed="false">
      <c r="A4" s="9" t="n">
        <v>1</v>
      </c>
      <c r="B4" s="9" t="n">
        <v>2022</v>
      </c>
      <c r="C4" s="9" t="n">
        <v>8</v>
      </c>
      <c r="D4" s="9" t="s">
        <v>122</v>
      </c>
      <c r="E4" s="9" t="s">
        <v>154</v>
      </c>
      <c r="F4" s="9" t="s">
        <v>176</v>
      </c>
      <c r="G4" s="9" t="s">
        <v>188</v>
      </c>
      <c r="H4" s="9" t="s">
        <v>308</v>
      </c>
      <c r="I4" s="9" t="s">
        <v>309</v>
      </c>
      <c r="J4" s="10"/>
      <c r="K4" s="10" t="n">
        <v>1404927.68</v>
      </c>
      <c r="L4" s="10"/>
      <c r="M4" s="10"/>
      <c r="N4" s="10"/>
      <c r="O4" s="11" t="n">
        <f aca="false">IFERROR(N4/K4,"")</f>
        <v>0</v>
      </c>
      <c r="P4" s="12" t="s">
        <v>310</v>
      </c>
    </row>
    <row r="5" customFormat="false" ht="45.75" hidden="false" customHeight="true" outlineLevel="0" collapsed="false">
      <c r="A5" s="9" t="n">
        <v>2</v>
      </c>
      <c r="B5" s="9" t="n">
        <v>2022</v>
      </c>
      <c r="C5" s="9" t="n">
        <v>9</v>
      </c>
      <c r="D5" s="9" t="s">
        <v>122</v>
      </c>
      <c r="E5" s="9" t="s">
        <v>154</v>
      </c>
      <c r="F5" s="9" t="s">
        <v>176</v>
      </c>
      <c r="G5" s="9" t="s">
        <v>188</v>
      </c>
      <c r="H5" s="9" t="s">
        <v>308</v>
      </c>
      <c r="I5" s="9" t="s">
        <v>311</v>
      </c>
      <c r="J5" s="10"/>
      <c r="K5" s="10" t="n">
        <v>1405344.18</v>
      </c>
      <c r="L5" s="10"/>
      <c r="M5" s="10"/>
      <c r="N5" s="10"/>
      <c r="O5" s="11" t="n">
        <f aca="false">IFERROR(N5/K5,"")</f>
        <v>0</v>
      </c>
      <c r="P5" s="12" t="s">
        <v>312</v>
      </c>
    </row>
    <row r="6" customFormat="false" ht="45.75" hidden="false" customHeight="true" outlineLevel="0" collapsed="false">
      <c r="A6" s="9" t="n">
        <v>3</v>
      </c>
      <c r="B6" s="9" t="n">
        <v>2022</v>
      </c>
      <c r="C6" s="9" t="n">
        <v>10</v>
      </c>
      <c r="D6" s="9" t="s">
        <v>122</v>
      </c>
      <c r="E6" s="9" t="s">
        <v>154</v>
      </c>
      <c r="F6" s="9" t="s">
        <v>176</v>
      </c>
      <c r="G6" s="9" t="s">
        <v>188</v>
      </c>
      <c r="H6" s="9" t="s">
        <v>308</v>
      </c>
      <c r="I6" s="9" t="s">
        <v>313</v>
      </c>
      <c r="J6" s="10"/>
      <c r="K6" s="10" t="n">
        <v>1049435.59</v>
      </c>
      <c r="L6" s="10"/>
      <c r="M6" s="10"/>
      <c r="N6" s="10"/>
      <c r="O6" s="11" t="n">
        <f aca="false">IFERROR(N6/K6,"")</f>
        <v>0</v>
      </c>
      <c r="P6" s="12" t="s">
        <v>314</v>
      </c>
    </row>
    <row r="7" customFormat="false" ht="45.75" hidden="false" customHeight="true" outlineLevel="0" collapsed="false">
      <c r="A7" s="9" t="n">
        <v>4</v>
      </c>
      <c r="B7" s="9" t="n">
        <v>2022</v>
      </c>
      <c r="C7" s="9" t="n">
        <v>11</v>
      </c>
      <c r="D7" s="9" t="s">
        <v>122</v>
      </c>
      <c r="E7" s="9" t="s">
        <v>154</v>
      </c>
      <c r="F7" s="9" t="s">
        <v>176</v>
      </c>
      <c r="G7" s="9" t="s">
        <v>188</v>
      </c>
      <c r="H7" s="9" t="s">
        <v>308</v>
      </c>
      <c r="I7" s="9" t="s">
        <v>315</v>
      </c>
      <c r="J7" s="10"/>
      <c r="K7" s="10" t="n">
        <v>1401291.11</v>
      </c>
      <c r="L7" s="10"/>
      <c r="M7" s="10"/>
      <c r="N7" s="10"/>
      <c r="O7" s="11" t="n">
        <f aca="false">IFERROR(N7/K7,"")</f>
        <v>0</v>
      </c>
      <c r="P7" s="12" t="s">
        <v>316</v>
      </c>
    </row>
    <row r="8" customFormat="false" ht="45.75" hidden="false" customHeight="true" outlineLevel="0" collapsed="false">
      <c r="A8" s="9" t="n">
        <v>5</v>
      </c>
      <c r="B8" s="9" t="n">
        <v>2022</v>
      </c>
      <c r="C8" s="9" t="n">
        <v>12</v>
      </c>
      <c r="D8" s="9" t="s">
        <v>122</v>
      </c>
      <c r="E8" s="9" t="s">
        <v>154</v>
      </c>
      <c r="F8" s="9" t="s">
        <v>176</v>
      </c>
      <c r="G8" s="9" t="s">
        <v>188</v>
      </c>
      <c r="H8" s="9" t="s">
        <v>308</v>
      </c>
      <c r="I8" s="9" t="s">
        <v>317</v>
      </c>
      <c r="J8" s="10"/>
      <c r="K8" s="10" t="n">
        <v>1401095.11</v>
      </c>
      <c r="L8" s="10"/>
      <c r="M8" s="10"/>
      <c r="N8" s="10"/>
      <c r="O8" s="11" t="n">
        <f aca="false">IFERROR(N8/K8,"")</f>
        <v>0</v>
      </c>
      <c r="P8" s="12" t="s">
        <v>316</v>
      </c>
    </row>
    <row r="9" customFormat="false" ht="45.75" hidden="false" customHeight="true" outlineLevel="0" collapsed="false">
      <c r="A9" s="9" t="n">
        <v>6</v>
      </c>
      <c r="B9" s="9" t="n">
        <v>2023</v>
      </c>
      <c r="C9" s="9" t="n">
        <v>1</v>
      </c>
      <c r="D9" s="9" t="s">
        <v>122</v>
      </c>
      <c r="E9" s="9" t="s">
        <v>154</v>
      </c>
      <c r="F9" s="9" t="s">
        <v>176</v>
      </c>
      <c r="G9" s="9" t="s">
        <v>188</v>
      </c>
      <c r="H9" s="9" t="s">
        <v>308</v>
      </c>
      <c r="I9" s="9" t="s">
        <v>318</v>
      </c>
      <c r="J9" s="10"/>
      <c r="K9" s="10" t="n">
        <v>960786.27</v>
      </c>
      <c r="L9" s="10"/>
      <c r="M9" s="10"/>
      <c r="N9" s="10"/>
      <c r="O9" s="11" t="n">
        <f aca="false">IFERROR(N9/K9,"")</f>
        <v>0</v>
      </c>
      <c r="P9" s="12" t="s">
        <v>314</v>
      </c>
    </row>
    <row r="10" customFormat="false" ht="45.75" hidden="false" customHeight="true" outlineLevel="0" collapsed="false">
      <c r="A10" s="9" t="n">
        <v>7</v>
      </c>
      <c r="B10" s="9" t="n">
        <v>2023</v>
      </c>
      <c r="C10" s="9" t="n">
        <v>2</v>
      </c>
      <c r="D10" s="9" t="s">
        <v>122</v>
      </c>
      <c r="E10" s="9" t="s">
        <v>154</v>
      </c>
      <c r="F10" s="9" t="s">
        <v>176</v>
      </c>
      <c r="G10" s="9" t="s">
        <v>188</v>
      </c>
      <c r="H10" s="9" t="s">
        <v>308</v>
      </c>
      <c r="I10" s="9" t="s">
        <v>319</v>
      </c>
      <c r="J10" s="10"/>
      <c r="K10" s="10" t="n">
        <v>1315661.66</v>
      </c>
      <c r="L10" s="10"/>
      <c r="M10" s="10"/>
      <c r="N10" s="10"/>
      <c r="O10" s="11" t="n">
        <f aca="false">IFERROR(N10/K10,"")</f>
        <v>0</v>
      </c>
      <c r="P10" s="12" t="s">
        <v>316</v>
      </c>
    </row>
    <row r="11" customFormat="false" ht="45.75" hidden="false" customHeight="true" outlineLevel="0" collapsed="false">
      <c r="A11" s="9" t="n">
        <v>8</v>
      </c>
      <c r="B11" s="9" t="n">
        <v>2026</v>
      </c>
      <c r="C11" s="9" t="n">
        <v>6</v>
      </c>
      <c r="D11" s="9" t="s">
        <v>130</v>
      </c>
      <c r="E11" s="9" t="s">
        <v>159</v>
      </c>
      <c r="F11" s="9" t="s">
        <v>176</v>
      </c>
      <c r="G11" s="9" t="s">
        <v>188</v>
      </c>
      <c r="H11" s="9" t="s">
        <v>308</v>
      </c>
      <c r="I11" s="9" t="s">
        <v>320</v>
      </c>
      <c r="J11" s="10" t="n">
        <v>1235916.99</v>
      </c>
      <c r="K11" s="10"/>
      <c r="L11" s="10"/>
      <c r="M11" s="10"/>
      <c r="N11" s="10"/>
      <c r="O11" s="11" t="str">
        <f aca="false">IFERROR(N11/K11,"")</f>
        <v/>
      </c>
      <c r="P11" s="12" t="s">
        <v>321</v>
      </c>
    </row>
    <row r="12" customFormat="false" ht="15" hidden="false" customHeight="false" outlineLevel="0" collapsed="false">
      <c r="A12" s="0" t="str">
        <f aca="false">IF(D12="","",ROW()-11)</f>
        <v/>
      </c>
      <c r="B12" s="13"/>
      <c r="C12" s="13"/>
      <c r="D12" s="13"/>
      <c r="E12" s="13"/>
      <c r="F12" s="13"/>
      <c r="G12" s="13"/>
      <c r="H12" s="13"/>
      <c r="I12" s="13"/>
      <c r="J12" s="14"/>
      <c r="K12" s="14"/>
      <c r="L12" s="14"/>
      <c r="M12" s="14"/>
      <c r="N12" s="14"/>
      <c r="O12" s="15" t="str">
        <f aca="false">IFERROR(N12/K12,"")</f>
        <v/>
      </c>
      <c r="P12" s="13"/>
    </row>
    <row r="13" customFormat="false" ht="15" hidden="false" customHeight="false" outlineLevel="0" collapsed="false">
      <c r="A13" s="0" t="str">
        <f aca="false">IF(D13="","",ROW()-11)</f>
        <v/>
      </c>
      <c r="B13" s="13"/>
      <c r="C13" s="13"/>
      <c r="D13" s="13"/>
      <c r="E13" s="13"/>
      <c r="F13" s="13"/>
      <c r="G13" s="13"/>
      <c r="H13" s="13"/>
      <c r="I13" s="13"/>
      <c r="J13" s="14"/>
      <c r="K13" s="14"/>
      <c r="L13" s="14"/>
      <c r="M13" s="14"/>
      <c r="N13" s="14"/>
      <c r="O13" s="15" t="str">
        <f aca="false">IFERROR(N13/K13,"")</f>
        <v/>
      </c>
      <c r="P13" s="13"/>
    </row>
    <row r="14" customFormat="false" ht="15" hidden="false" customHeight="false" outlineLevel="0" collapsed="false">
      <c r="A14" s="0" t="str">
        <f aca="false">IF(D14="","",ROW()-11)</f>
        <v/>
      </c>
      <c r="B14" s="13"/>
      <c r="C14" s="13"/>
      <c r="D14" s="13"/>
      <c r="E14" s="13"/>
      <c r="F14" s="13"/>
      <c r="G14" s="13"/>
      <c r="H14" s="13"/>
      <c r="I14" s="13"/>
      <c r="J14" s="14"/>
      <c r="K14" s="14"/>
      <c r="L14" s="14"/>
      <c r="M14" s="14"/>
      <c r="N14" s="14"/>
      <c r="O14" s="15" t="str">
        <f aca="false">IFERROR(N14/K14,"")</f>
        <v/>
      </c>
      <c r="P14" s="13"/>
    </row>
    <row r="15" customFormat="false" ht="15" hidden="false" customHeight="false" outlineLevel="0" collapsed="false">
      <c r="A15" s="0" t="str">
        <f aca="false">IF(D15="","",ROW()-11)</f>
        <v/>
      </c>
      <c r="B15" s="13"/>
      <c r="C15" s="13"/>
      <c r="D15" s="13"/>
      <c r="E15" s="13"/>
      <c r="F15" s="13"/>
      <c r="G15" s="13"/>
      <c r="H15" s="13"/>
      <c r="I15" s="13"/>
      <c r="J15" s="14"/>
      <c r="K15" s="14"/>
      <c r="L15" s="14"/>
      <c r="M15" s="14"/>
      <c r="N15" s="14"/>
      <c r="O15" s="15" t="str">
        <f aca="false">IFERROR(N15/K15,"")</f>
        <v/>
      </c>
      <c r="P15" s="13"/>
    </row>
    <row r="16" customFormat="false" ht="15" hidden="false" customHeight="false" outlineLevel="0" collapsed="false">
      <c r="A16" s="0" t="str">
        <f aca="false">IF(D16="","",ROW()-11)</f>
        <v/>
      </c>
      <c r="B16" s="13"/>
      <c r="C16" s="13"/>
      <c r="D16" s="13"/>
      <c r="E16" s="13"/>
      <c r="F16" s="13"/>
      <c r="G16" s="13"/>
      <c r="H16" s="13"/>
      <c r="I16" s="13"/>
      <c r="J16" s="14"/>
      <c r="K16" s="14"/>
      <c r="L16" s="14"/>
      <c r="M16" s="14"/>
      <c r="N16" s="14"/>
      <c r="O16" s="15" t="str">
        <f aca="false">IFERROR(N16/K16,"")</f>
        <v/>
      </c>
      <c r="P16" s="13"/>
    </row>
    <row r="17" customFormat="false" ht="15" hidden="false" customHeight="false" outlineLevel="0" collapsed="false">
      <c r="A17" s="0" t="str">
        <f aca="false">IF(D17="","",ROW()-11)</f>
        <v/>
      </c>
      <c r="B17" s="13"/>
      <c r="C17" s="13"/>
      <c r="D17" s="13"/>
      <c r="E17" s="13"/>
      <c r="F17" s="13"/>
      <c r="G17" s="13"/>
      <c r="H17" s="13"/>
      <c r="I17" s="13"/>
      <c r="J17" s="14"/>
      <c r="K17" s="14"/>
      <c r="L17" s="14"/>
      <c r="M17" s="14"/>
      <c r="N17" s="14"/>
      <c r="O17" s="15" t="str">
        <f aca="false">IFERROR(N17/K17,"")</f>
        <v/>
      </c>
      <c r="P17" s="13"/>
    </row>
    <row r="18" customFormat="false" ht="15" hidden="false" customHeight="false" outlineLevel="0" collapsed="false">
      <c r="A18" s="0" t="str">
        <f aca="false">IF(D18="","",ROW()-11)</f>
        <v/>
      </c>
      <c r="B18" s="13"/>
      <c r="C18" s="13"/>
      <c r="D18" s="13"/>
      <c r="E18" s="13"/>
      <c r="F18" s="13"/>
      <c r="G18" s="13"/>
      <c r="H18" s="13"/>
      <c r="I18" s="13"/>
      <c r="J18" s="14"/>
      <c r="K18" s="14"/>
      <c r="L18" s="14"/>
      <c r="M18" s="14"/>
      <c r="N18" s="14"/>
      <c r="O18" s="15" t="str">
        <f aca="false">IFERROR(N18/K18,"")</f>
        <v/>
      </c>
      <c r="P18" s="13"/>
    </row>
    <row r="19" customFormat="false" ht="15" hidden="false" customHeight="false" outlineLevel="0" collapsed="false">
      <c r="A19" s="0" t="str">
        <f aca="false">IF(D19="","",ROW()-11)</f>
        <v/>
      </c>
      <c r="B19" s="13"/>
      <c r="C19" s="13"/>
      <c r="D19" s="13"/>
      <c r="E19" s="13"/>
      <c r="F19" s="13"/>
      <c r="G19" s="13"/>
      <c r="H19" s="13"/>
      <c r="I19" s="13"/>
      <c r="J19" s="14"/>
      <c r="K19" s="14"/>
      <c r="L19" s="14"/>
      <c r="M19" s="14"/>
      <c r="N19" s="14"/>
      <c r="O19" s="15" t="str">
        <f aca="false">IFERROR(N19/K19,"")</f>
        <v/>
      </c>
      <c r="P19" s="13"/>
    </row>
    <row r="20" customFormat="false" ht="15" hidden="false" customHeight="false" outlineLevel="0" collapsed="false">
      <c r="A20" s="0" t="str">
        <f aca="false">IF(D20="","",ROW()-11)</f>
        <v/>
      </c>
      <c r="B20" s="13"/>
      <c r="C20" s="13"/>
      <c r="D20" s="13"/>
      <c r="E20" s="13"/>
      <c r="F20" s="13"/>
      <c r="G20" s="13"/>
      <c r="H20" s="13"/>
      <c r="I20" s="13"/>
      <c r="J20" s="14"/>
      <c r="K20" s="14"/>
      <c r="L20" s="14"/>
      <c r="M20" s="14"/>
      <c r="N20" s="14"/>
      <c r="O20" s="15" t="str">
        <f aca="false">IFERROR(N20/K20,"")</f>
        <v/>
      </c>
      <c r="P20" s="13"/>
    </row>
    <row r="21" customFormat="false" ht="15" hidden="false" customHeight="false" outlineLevel="0" collapsed="false">
      <c r="A21" s="0" t="str">
        <f aca="false">IF(D21="","",ROW()-11)</f>
        <v/>
      </c>
      <c r="B21" s="13"/>
      <c r="C21" s="13"/>
      <c r="D21" s="13"/>
      <c r="E21" s="13"/>
      <c r="F21" s="13"/>
      <c r="G21" s="13"/>
      <c r="H21" s="13"/>
      <c r="I21" s="13"/>
      <c r="J21" s="14"/>
      <c r="K21" s="14"/>
      <c r="L21" s="14"/>
      <c r="M21" s="14"/>
      <c r="N21" s="14"/>
      <c r="O21" s="15" t="str">
        <f aca="false">IFERROR(N21/K21,"")</f>
        <v/>
      </c>
      <c r="P21" s="13"/>
    </row>
    <row r="22" customFormat="false" ht="15" hidden="false" customHeight="false" outlineLevel="0" collapsed="false">
      <c r="A22" s="0" t="str">
        <f aca="false">IF(D22="","",ROW()-11)</f>
        <v/>
      </c>
      <c r="B22" s="13"/>
      <c r="C22" s="13"/>
      <c r="D22" s="13"/>
      <c r="E22" s="13"/>
      <c r="F22" s="13"/>
      <c r="G22" s="13"/>
      <c r="H22" s="13"/>
      <c r="I22" s="13"/>
      <c r="J22" s="14"/>
      <c r="K22" s="14"/>
      <c r="L22" s="14"/>
      <c r="M22" s="14"/>
      <c r="N22" s="14"/>
      <c r="O22" s="15" t="str">
        <f aca="false">IFERROR(N22/K22,"")</f>
        <v/>
      </c>
      <c r="P22" s="13"/>
    </row>
    <row r="23" customFormat="false" ht="15" hidden="false" customHeight="false" outlineLevel="0" collapsed="false">
      <c r="A23" s="0" t="str">
        <f aca="false">IF(D23="","",ROW()-11)</f>
        <v/>
      </c>
      <c r="B23" s="13"/>
      <c r="C23" s="13"/>
      <c r="D23" s="13"/>
      <c r="E23" s="13"/>
      <c r="F23" s="13"/>
      <c r="G23" s="13"/>
      <c r="H23" s="13"/>
      <c r="I23" s="13"/>
      <c r="J23" s="14"/>
      <c r="K23" s="14"/>
      <c r="L23" s="14"/>
      <c r="M23" s="14"/>
      <c r="N23" s="14"/>
      <c r="O23" s="15" t="str">
        <f aca="false">IFERROR(N23/K23,"")</f>
        <v/>
      </c>
      <c r="P23" s="13"/>
    </row>
    <row r="24" customFormat="false" ht="15" hidden="false" customHeight="false" outlineLevel="0" collapsed="false">
      <c r="A24" s="0" t="str">
        <f aca="false">IF(D24="","",ROW()-11)</f>
        <v/>
      </c>
      <c r="B24" s="13"/>
      <c r="C24" s="13"/>
      <c r="D24" s="13"/>
      <c r="E24" s="13"/>
      <c r="F24" s="13"/>
      <c r="G24" s="13"/>
      <c r="H24" s="13"/>
      <c r="I24" s="13"/>
      <c r="J24" s="14"/>
      <c r="K24" s="14"/>
      <c r="L24" s="14"/>
      <c r="M24" s="14"/>
      <c r="N24" s="14"/>
      <c r="O24" s="15" t="str">
        <f aca="false">IFERROR(N24/K24,"")</f>
        <v/>
      </c>
      <c r="P24" s="13"/>
    </row>
    <row r="25" customFormat="false" ht="15" hidden="false" customHeight="false" outlineLevel="0" collapsed="false">
      <c r="A25" s="0" t="str">
        <f aca="false">IF(D25="","",ROW()-11)</f>
        <v/>
      </c>
      <c r="B25" s="13"/>
      <c r="C25" s="13"/>
      <c r="D25" s="13"/>
      <c r="E25" s="13"/>
      <c r="F25" s="13"/>
      <c r="G25" s="13"/>
      <c r="H25" s="13"/>
      <c r="I25" s="13"/>
      <c r="J25" s="14"/>
      <c r="K25" s="14"/>
      <c r="L25" s="14"/>
      <c r="M25" s="14"/>
      <c r="N25" s="14"/>
      <c r="O25" s="15" t="str">
        <f aca="false">IFERROR(N25/K25,"")</f>
        <v/>
      </c>
      <c r="P25" s="13"/>
    </row>
    <row r="26" customFormat="false" ht="15" hidden="false" customHeight="false" outlineLevel="0" collapsed="false">
      <c r="A26" s="0" t="str">
        <f aca="false">IF(D26="","",ROW()-11)</f>
        <v/>
      </c>
      <c r="B26" s="13"/>
      <c r="C26" s="13"/>
      <c r="D26" s="13"/>
      <c r="E26" s="13"/>
      <c r="F26" s="13"/>
      <c r="G26" s="13"/>
      <c r="H26" s="13"/>
      <c r="I26" s="13"/>
      <c r="J26" s="14"/>
      <c r="K26" s="14"/>
      <c r="L26" s="14"/>
      <c r="M26" s="14"/>
      <c r="N26" s="14"/>
      <c r="O26" s="15" t="str">
        <f aca="false">IFERROR(N26/K26,"")</f>
        <v/>
      </c>
      <c r="P26" s="13"/>
    </row>
    <row r="27" customFormat="false" ht="15" hidden="false" customHeight="false" outlineLevel="0" collapsed="false">
      <c r="A27" s="0" t="str">
        <f aca="false">IF(D27="","",ROW()-11)</f>
        <v/>
      </c>
      <c r="B27" s="13"/>
      <c r="C27" s="13"/>
      <c r="D27" s="13"/>
      <c r="E27" s="13"/>
      <c r="F27" s="13"/>
      <c r="G27" s="13"/>
      <c r="H27" s="13"/>
      <c r="I27" s="13"/>
      <c r="J27" s="14"/>
      <c r="K27" s="14"/>
      <c r="L27" s="14"/>
      <c r="M27" s="14"/>
      <c r="N27" s="14"/>
      <c r="O27" s="15" t="str">
        <f aca="false">IFERROR(N27/K27,"")</f>
        <v/>
      </c>
      <c r="P27" s="13"/>
    </row>
    <row r="28" customFormat="false" ht="15" hidden="false" customHeight="false" outlineLevel="0" collapsed="false">
      <c r="A28" s="0" t="str">
        <f aca="false">IF(D28="","",ROW()-11)</f>
        <v/>
      </c>
      <c r="B28" s="13"/>
      <c r="C28" s="13"/>
      <c r="D28" s="13"/>
      <c r="E28" s="13"/>
      <c r="F28" s="13"/>
      <c r="G28" s="13"/>
      <c r="H28" s="13"/>
      <c r="I28" s="13"/>
      <c r="J28" s="14"/>
      <c r="K28" s="14"/>
      <c r="L28" s="14"/>
      <c r="M28" s="14"/>
      <c r="N28" s="14"/>
      <c r="O28" s="15" t="str">
        <f aca="false">IFERROR(N28/K28,"")</f>
        <v/>
      </c>
      <c r="P28" s="13"/>
    </row>
    <row r="29" customFormat="false" ht="15" hidden="false" customHeight="false" outlineLevel="0" collapsed="false">
      <c r="A29" s="0" t="str">
        <f aca="false">IF(D29="","",ROW()-11)</f>
        <v/>
      </c>
      <c r="B29" s="13"/>
      <c r="C29" s="13"/>
      <c r="D29" s="13"/>
      <c r="E29" s="13"/>
      <c r="F29" s="13"/>
      <c r="G29" s="13"/>
      <c r="H29" s="13"/>
      <c r="I29" s="13"/>
      <c r="J29" s="14"/>
      <c r="K29" s="14"/>
      <c r="L29" s="14"/>
      <c r="M29" s="14"/>
      <c r="N29" s="14"/>
      <c r="O29" s="15" t="str">
        <f aca="false">IFERROR(N29/K29,"")</f>
        <v/>
      </c>
      <c r="P29" s="13"/>
    </row>
    <row r="30" customFormat="false" ht="15" hidden="false" customHeight="false" outlineLevel="0" collapsed="false">
      <c r="A30" s="0" t="str">
        <f aca="false">IF(D30="","",ROW()-11)</f>
        <v/>
      </c>
      <c r="B30" s="13"/>
      <c r="C30" s="13"/>
      <c r="D30" s="13"/>
      <c r="E30" s="13"/>
      <c r="F30" s="13"/>
      <c r="G30" s="13"/>
      <c r="H30" s="13"/>
      <c r="I30" s="13"/>
      <c r="J30" s="14"/>
      <c r="K30" s="14"/>
      <c r="L30" s="14"/>
      <c r="M30" s="14"/>
      <c r="N30" s="14"/>
      <c r="O30" s="15" t="str">
        <f aca="false">IFERROR(N30/K30,"")</f>
        <v/>
      </c>
      <c r="P30" s="13"/>
    </row>
    <row r="31" customFormat="false" ht="15" hidden="false" customHeight="false" outlineLevel="0" collapsed="false">
      <c r="A31" s="0" t="str">
        <f aca="false">IF(D31="","",ROW()-11)</f>
        <v/>
      </c>
      <c r="B31" s="13"/>
      <c r="C31" s="13"/>
      <c r="D31" s="13"/>
      <c r="E31" s="13"/>
      <c r="F31" s="13"/>
      <c r="G31" s="13"/>
      <c r="H31" s="13"/>
      <c r="I31" s="13"/>
      <c r="J31" s="14"/>
      <c r="K31" s="14"/>
      <c r="L31" s="14"/>
      <c r="M31" s="14"/>
      <c r="N31" s="14"/>
      <c r="O31" s="15" t="str">
        <f aca="false">IFERROR(N31/K31,"")</f>
        <v/>
      </c>
      <c r="P31" s="13"/>
    </row>
    <row r="32" customFormat="false" ht="15" hidden="false" customHeight="false" outlineLevel="0" collapsed="false">
      <c r="A32" s="0" t="str">
        <f aca="false">IF(D32="","",ROW()-11)</f>
        <v/>
      </c>
      <c r="B32" s="13"/>
      <c r="C32" s="13"/>
      <c r="D32" s="13"/>
      <c r="E32" s="13"/>
      <c r="F32" s="13"/>
      <c r="G32" s="13"/>
      <c r="H32" s="13"/>
      <c r="I32" s="13"/>
      <c r="J32" s="14"/>
      <c r="K32" s="14"/>
      <c r="L32" s="14"/>
      <c r="M32" s="14"/>
      <c r="N32" s="14"/>
      <c r="O32" s="15" t="str">
        <f aca="false">IFERROR(N32/K32,"")</f>
        <v/>
      </c>
      <c r="P32" s="13"/>
    </row>
    <row r="33" customFormat="false" ht="15" hidden="false" customHeight="false" outlineLevel="0" collapsed="false">
      <c r="A33" s="0" t="str">
        <f aca="false">IF(D33="","",ROW()-11)</f>
        <v/>
      </c>
      <c r="B33" s="13"/>
      <c r="C33" s="13"/>
      <c r="D33" s="13"/>
      <c r="E33" s="13"/>
      <c r="F33" s="13"/>
      <c r="G33" s="13"/>
      <c r="H33" s="13"/>
      <c r="I33" s="13"/>
      <c r="J33" s="14"/>
      <c r="K33" s="14"/>
      <c r="L33" s="14"/>
      <c r="M33" s="14"/>
      <c r="N33" s="14"/>
      <c r="O33" s="15" t="str">
        <f aca="false">IFERROR(N33/K33,"")</f>
        <v/>
      </c>
      <c r="P33" s="13"/>
    </row>
    <row r="34" customFormat="false" ht="15" hidden="false" customHeight="false" outlineLevel="0" collapsed="false">
      <c r="A34" s="0" t="str">
        <f aca="false">IF(D34="","",ROW()-11)</f>
        <v/>
      </c>
      <c r="B34" s="13"/>
      <c r="C34" s="13"/>
      <c r="D34" s="13"/>
      <c r="E34" s="13"/>
      <c r="F34" s="13"/>
      <c r="G34" s="13"/>
      <c r="H34" s="13"/>
      <c r="I34" s="13"/>
      <c r="J34" s="14"/>
      <c r="K34" s="14"/>
      <c r="L34" s="14"/>
      <c r="M34" s="14"/>
      <c r="N34" s="14"/>
      <c r="O34" s="15" t="str">
        <f aca="false">IFERROR(N34/K34,"")</f>
        <v/>
      </c>
      <c r="P34" s="13"/>
    </row>
    <row r="35" customFormat="false" ht="15" hidden="false" customHeight="false" outlineLevel="0" collapsed="false">
      <c r="A35" s="0" t="str">
        <f aca="false">IF(D35="","",ROW()-11)</f>
        <v/>
      </c>
      <c r="B35" s="13"/>
      <c r="C35" s="13"/>
      <c r="D35" s="13"/>
      <c r="E35" s="13"/>
      <c r="F35" s="13"/>
      <c r="G35" s="13"/>
      <c r="H35" s="13"/>
      <c r="I35" s="13"/>
      <c r="J35" s="14"/>
      <c r="K35" s="14"/>
      <c r="L35" s="14"/>
      <c r="M35" s="14"/>
      <c r="N35" s="14"/>
      <c r="O35" s="15" t="str">
        <f aca="false">IFERROR(N35/K35,"")</f>
        <v/>
      </c>
      <c r="P35" s="13"/>
    </row>
    <row r="36" customFormat="false" ht="15" hidden="false" customHeight="false" outlineLevel="0" collapsed="false">
      <c r="A36" s="0" t="str">
        <f aca="false">IF(D36="","",ROW()-11)</f>
        <v/>
      </c>
      <c r="B36" s="13"/>
      <c r="C36" s="13"/>
      <c r="D36" s="13"/>
      <c r="E36" s="13"/>
      <c r="F36" s="13"/>
      <c r="G36" s="13"/>
      <c r="H36" s="13"/>
      <c r="I36" s="13"/>
      <c r="J36" s="14"/>
      <c r="K36" s="14"/>
      <c r="L36" s="14"/>
      <c r="M36" s="14"/>
      <c r="N36" s="14"/>
      <c r="O36" s="15" t="str">
        <f aca="false">IFERROR(N36/K36,"")</f>
        <v/>
      </c>
      <c r="P36" s="13"/>
    </row>
    <row r="37" customFormat="false" ht="15" hidden="false" customHeight="false" outlineLevel="0" collapsed="false">
      <c r="A37" s="0" t="str">
        <f aca="false">IF(D37="","",ROW()-11)</f>
        <v/>
      </c>
      <c r="B37" s="13"/>
      <c r="C37" s="13"/>
      <c r="D37" s="13"/>
      <c r="E37" s="13"/>
      <c r="F37" s="13"/>
      <c r="G37" s="13"/>
      <c r="H37" s="13"/>
      <c r="I37" s="13"/>
      <c r="J37" s="14"/>
      <c r="K37" s="14"/>
      <c r="L37" s="14"/>
      <c r="M37" s="14"/>
      <c r="N37" s="14"/>
      <c r="O37" s="15" t="str">
        <f aca="false">IFERROR(N37/K37,"")</f>
        <v/>
      </c>
      <c r="P37" s="13"/>
    </row>
    <row r="38" customFormat="false" ht="15" hidden="false" customHeight="false" outlineLevel="0" collapsed="false">
      <c r="A38" s="0" t="str">
        <f aca="false">IF(D38="","",ROW()-11)</f>
        <v/>
      </c>
      <c r="B38" s="13"/>
      <c r="C38" s="13"/>
      <c r="D38" s="13"/>
      <c r="E38" s="13"/>
      <c r="F38" s="13"/>
      <c r="G38" s="13"/>
      <c r="H38" s="13"/>
      <c r="I38" s="13"/>
      <c r="J38" s="14"/>
      <c r="K38" s="14"/>
      <c r="L38" s="14"/>
      <c r="M38" s="14"/>
      <c r="N38" s="14"/>
      <c r="O38" s="15" t="str">
        <f aca="false">IFERROR(N38/K38,"")</f>
        <v/>
      </c>
      <c r="P38" s="13"/>
    </row>
    <row r="39" customFormat="false" ht="15" hidden="false" customHeight="false" outlineLevel="0" collapsed="false">
      <c r="A39" s="0" t="str">
        <f aca="false">IF(D39="","",ROW()-11)</f>
        <v/>
      </c>
      <c r="B39" s="13"/>
      <c r="C39" s="13"/>
      <c r="D39" s="13"/>
      <c r="E39" s="13"/>
      <c r="F39" s="13"/>
      <c r="G39" s="13"/>
      <c r="H39" s="13"/>
      <c r="I39" s="13"/>
      <c r="J39" s="14"/>
      <c r="K39" s="14"/>
      <c r="L39" s="14"/>
      <c r="M39" s="14"/>
      <c r="N39" s="14"/>
      <c r="O39" s="15" t="str">
        <f aca="false">IFERROR(N39/K39,"")</f>
        <v/>
      </c>
      <c r="P39" s="13"/>
    </row>
    <row r="40" customFormat="false" ht="15" hidden="false" customHeight="false" outlineLevel="0" collapsed="false">
      <c r="A40" s="0" t="str">
        <f aca="false">IF(D40="","",ROW()-11)</f>
        <v/>
      </c>
      <c r="B40" s="13"/>
      <c r="C40" s="13"/>
      <c r="D40" s="13"/>
      <c r="E40" s="13"/>
      <c r="F40" s="13"/>
      <c r="G40" s="13"/>
      <c r="H40" s="13"/>
      <c r="I40" s="13"/>
      <c r="J40" s="14"/>
      <c r="K40" s="14"/>
      <c r="L40" s="14"/>
      <c r="M40" s="14"/>
      <c r="N40" s="14"/>
      <c r="O40" s="15" t="str">
        <f aca="false">IFERROR(N40/K40,"")</f>
        <v/>
      </c>
      <c r="P40" s="13"/>
    </row>
    <row r="41" customFormat="false" ht="15" hidden="false" customHeight="false" outlineLevel="0" collapsed="false">
      <c r="A41" s="0" t="str">
        <f aca="false">IF(D41="","",ROW()-11)</f>
        <v/>
      </c>
      <c r="B41" s="13"/>
      <c r="C41" s="13"/>
      <c r="D41" s="13"/>
      <c r="E41" s="13"/>
      <c r="F41" s="13"/>
      <c r="G41" s="13"/>
      <c r="H41" s="13"/>
      <c r="I41" s="13"/>
      <c r="J41" s="14"/>
      <c r="K41" s="14"/>
      <c r="L41" s="14"/>
      <c r="M41" s="14"/>
      <c r="N41" s="14"/>
      <c r="O41" s="15" t="str">
        <f aca="false">IFERROR(N41/K41,"")</f>
        <v/>
      </c>
      <c r="P41" s="13"/>
    </row>
    <row r="42" customFormat="false" ht="15" hidden="false" customHeight="false" outlineLevel="0" collapsed="false">
      <c r="A42" s="0" t="str">
        <f aca="false">IF(D42="","",ROW()-11)</f>
        <v/>
      </c>
      <c r="B42" s="13"/>
      <c r="C42" s="13"/>
      <c r="D42" s="13"/>
      <c r="E42" s="13"/>
      <c r="F42" s="13"/>
      <c r="G42" s="13"/>
      <c r="H42" s="13"/>
      <c r="I42" s="13"/>
      <c r="J42" s="14"/>
      <c r="K42" s="14"/>
      <c r="L42" s="14"/>
      <c r="M42" s="14"/>
      <c r="N42" s="14"/>
      <c r="O42" s="15" t="str">
        <f aca="false">IFERROR(N42/K42,"")</f>
        <v/>
      </c>
      <c r="P42" s="13"/>
    </row>
    <row r="43" customFormat="false" ht="15" hidden="false" customHeight="false" outlineLevel="0" collapsed="false">
      <c r="A43" s="0" t="str">
        <f aca="false">IF(D43="","",ROW()-11)</f>
        <v/>
      </c>
      <c r="B43" s="13"/>
      <c r="C43" s="13"/>
      <c r="D43" s="13"/>
      <c r="E43" s="13"/>
      <c r="F43" s="13"/>
      <c r="G43" s="13"/>
      <c r="H43" s="13"/>
      <c r="I43" s="13"/>
      <c r="J43" s="14"/>
      <c r="K43" s="14"/>
      <c r="L43" s="14"/>
      <c r="M43" s="14"/>
      <c r="N43" s="14"/>
      <c r="O43" s="15" t="str">
        <f aca="false">IFERROR(N43/K43,"")</f>
        <v/>
      </c>
      <c r="P43" s="13"/>
    </row>
    <row r="44" customFormat="false" ht="15" hidden="false" customHeight="false" outlineLevel="0" collapsed="false">
      <c r="A44" s="0" t="str">
        <f aca="false">IF(D44="","",ROW()-11)</f>
        <v/>
      </c>
      <c r="B44" s="13"/>
      <c r="C44" s="13"/>
      <c r="D44" s="13"/>
      <c r="E44" s="13"/>
      <c r="F44" s="13"/>
      <c r="G44" s="13"/>
      <c r="H44" s="13"/>
      <c r="I44" s="13"/>
      <c r="J44" s="14"/>
      <c r="K44" s="14"/>
      <c r="L44" s="14"/>
      <c r="M44" s="14"/>
      <c r="N44" s="14"/>
      <c r="O44" s="15" t="str">
        <f aca="false">IFERROR(N44/K44,"")</f>
        <v/>
      </c>
      <c r="P44" s="13"/>
    </row>
    <row r="45" customFormat="false" ht="15" hidden="false" customHeight="false" outlineLevel="0" collapsed="false">
      <c r="A45" s="0" t="str">
        <f aca="false">IF(D45="","",ROW()-11)</f>
        <v/>
      </c>
      <c r="B45" s="13"/>
      <c r="C45" s="13"/>
      <c r="D45" s="13"/>
      <c r="E45" s="13"/>
      <c r="F45" s="13"/>
      <c r="G45" s="13"/>
      <c r="H45" s="13"/>
      <c r="I45" s="13"/>
      <c r="J45" s="14"/>
      <c r="K45" s="14"/>
      <c r="L45" s="14"/>
      <c r="M45" s="14"/>
      <c r="N45" s="14"/>
      <c r="O45" s="15" t="str">
        <f aca="false">IFERROR(N45/K45,"")</f>
        <v/>
      </c>
      <c r="P45" s="13"/>
    </row>
    <row r="46" customFormat="false" ht="15" hidden="false" customHeight="false" outlineLevel="0" collapsed="false">
      <c r="A46" s="0" t="str">
        <f aca="false">IF(D46="","",ROW()-11)</f>
        <v/>
      </c>
      <c r="B46" s="13"/>
      <c r="C46" s="13"/>
      <c r="D46" s="13"/>
      <c r="E46" s="13"/>
      <c r="F46" s="13"/>
      <c r="G46" s="13"/>
      <c r="H46" s="13"/>
      <c r="I46" s="13"/>
      <c r="J46" s="14"/>
      <c r="K46" s="14"/>
      <c r="L46" s="14"/>
      <c r="M46" s="14"/>
      <c r="N46" s="14"/>
      <c r="O46" s="15" t="str">
        <f aca="false">IFERROR(N46/K46,"")</f>
        <v/>
      </c>
      <c r="P46" s="13"/>
    </row>
    <row r="47" customFormat="false" ht="15" hidden="false" customHeight="false" outlineLevel="0" collapsed="false">
      <c r="A47" s="0" t="str">
        <f aca="false">IF(D47="","",ROW()-11)</f>
        <v/>
      </c>
      <c r="B47" s="13"/>
      <c r="C47" s="13"/>
      <c r="D47" s="13"/>
      <c r="E47" s="13"/>
      <c r="F47" s="13"/>
      <c r="G47" s="13"/>
      <c r="H47" s="13"/>
      <c r="I47" s="13"/>
      <c r="J47" s="14"/>
      <c r="K47" s="14"/>
      <c r="L47" s="14"/>
      <c r="M47" s="14"/>
      <c r="N47" s="14"/>
      <c r="O47" s="15" t="str">
        <f aca="false">IFERROR(N47/K47,"")</f>
        <v/>
      </c>
      <c r="P47" s="13"/>
    </row>
    <row r="48" customFormat="false" ht="15" hidden="false" customHeight="false" outlineLevel="0" collapsed="false">
      <c r="A48" s="0" t="str">
        <f aca="false">IF(D48="","",ROW()-11)</f>
        <v/>
      </c>
      <c r="B48" s="13"/>
      <c r="C48" s="13"/>
      <c r="D48" s="13"/>
      <c r="E48" s="13"/>
      <c r="F48" s="13"/>
      <c r="G48" s="13"/>
      <c r="H48" s="13"/>
      <c r="I48" s="13"/>
      <c r="J48" s="14"/>
      <c r="K48" s="14"/>
      <c r="L48" s="14"/>
      <c r="M48" s="14"/>
      <c r="N48" s="14"/>
      <c r="O48" s="15" t="str">
        <f aca="false">IFERROR(N48/K48,"")</f>
        <v/>
      </c>
      <c r="P48" s="13"/>
    </row>
    <row r="49" customFormat="false" ht="15" hidden="false" customHeight="false" outlineLevel="0" collapsed="false">
      <c r="A49" s="0" t="str">
        <f aca="false">IF(D49="","",ROW()-11)</f>
        <v/>
      </c>
      <c r="B49" s="13"/>
      <c r="C49" s="13"/>
      <c r="D49" s="13"/>
      <c r="E49" s="13"/>
      <c r="F49" s="13"/>
      <c r="G49" s="13"/>
      <c r="H49" s="13"/>
      <c r="I49" s="13"/>
      <c r="J49" s="14"/>
      <c r="K49" s="14"/>
      <c r="L49" s="14"/>
      <c r="M49" s="14"/>
      <c r="N49" s="14"/>
      <c r="O49" s="15" t="str">
        <f aca="false">IFERROR(N49/K49,"")</f>
        <v/>
      </c>
      <c r="P49" s="13"/>
    </row>
    <row r="50" customFormat="false" ht="15" hidden="false" customHeight="false" outlineLevel="0" collapsed="false">
      <c r="A50" s="0" t="str">
        <f aca="false">IF(D50="","",ROW()-11)</f>
        <v/>
      </c>
      <c r="B50" s="13"/>
      <c r="C50" s="13"/>
      <c r="D50" s="13"/>
      <c r="E50" s="13"/>
      <c r="F50" s="13"/>
      <c r="G50" s="13"/>
      <c r="H50" s="13"/>
      <c r="I50" s="13"/>
      <c r="J50" s="14"/>
      <c r="K50" s="14"/>
      <c r="L50" s="14"/>
      <c r="M50" s="14"/>
      <c r="N50" s="14"/>
      <c r="O50" s="15" t="str">
        <f aca="false">IFERROR(N50/K50,"")</f>
        <v/>
      </c>
      <c r="P50" s="13"/>
    </row>
    <row r="51" customFormat="false" ht="15" hidden="false" customHeight="false" outlineLevel="0" collapsed="false">
      <c r="A51" s="0" t="str">
        <f aca="false">IF(D51="","",ROW()-11)</f>
        <v/>
      </c>
      <c r="B51" s="13"/>
      <c r="C51" s="13"/>
      <c r="D51" s="13"/>
      <c r="E51" s="13"/>
      <c r="F51" s="13"/>
      <c r="G51" s="13"/>
      <c r="H51" s="13"/>
      <c r="I51" s="13"/>
      <c r="J51" s="14"/>
      <c r="K51" s="14"/>
      <c r="L51" s="14"/>
      <c r="M51" s="14"/>
      <c r="N51" s="14"/>
      <c r="O51" s="15" t="str">
        <f aca="false">IFERROR(N51/K51,"")</f>
        <v/>
      </c>
      <c r="P51" s="13"/>
    </row>
    <row r="52" customFormat="false" ht="15" hidden="false" customHeight="false" outlineLevel="0" collapsed="false">
      <c r="A52" s="0" t="str">
        <f aca="false">IF(D52="","",ROW()-11)</f>
        <v/>
      </c>
      <c r="B52" s="13"/>
      <c r="C52" s="13"/>
      <c r="D52" s="13"/>
      <c r="E52" s="13"/>
      <c r="F52" s="13"/>
      <c r="G52" s="13"/>
      <c r="H52" s="13"/>
      <c r="I52" s="13"/>
      <c r="J52" s="14"/>
      <c r="K52" s="14"/>
      <c r="L52" s="14"/>
      <c r="M52" s="14"/>
      <c r="N52" s="14"/>
      <c r="O52" s="15" t="str">
        <f aca="false">IFERROR(N52/K52,"")</f>
        <v/>
      </c>
      <c r="P52" s="13"/>
    </row>
    <row r="53" customFormat="false" ht="15" hidden="false" customHeight="false" outlineLevel="0" collapsed="false">
      <c r="A53" s="0" t="str">
        <f aca="false">IF(D53="","",ROW()-11)</f>
        <v/>
      </c>
      <c r="B53" s="13"/>
      <c r="C53" s="13"/>
      <c r="D53" s="13"/>
      <c r="E53" s="13"/>
      <c r="F53" s="13"/>
      <c r="G53" s="13"/>
      <c r="H53" s="13"/>
      <c r="I53" s="13"/>
      <c r="J53" s="14"/>
      <c r="K53" s="14"/>
      <c r="L53" s="14"/>
      <c r="M53" s="14"/>
      <c r="N53" s="14"/>
      <c r="O53" s="15" t="str">
        <f aca="false">IFERROR(N53/K53,"")</f>
        <v/>
      </c>
      <c r="P53" s="13"/>
    </row>
    <row r="54" customFormat="false" ht="15" hidden="false" customHeight="false" outlineLevel="0" collapsed="false">
      <c r="A54" s="0" t="str">
        <f aca="false">IF(D54="","",ROW()-11)</f>
        <v/>
      </c>
      <c r="B54" s="13"/>
      <c r="C54" s="13"/>
      <c r="D54" s="13"/>
      <c r="E54" s="13"/>
      <c r="F54" s="13"/>
      <c r="G54" s="13"/>
      <c r="H54" s="13"/>
      <c r="I54" s="13"/>
      <c r="J54" s="14"/>
      <c r="K54" s="14"/>
      <c r="L54" s="14"/>
      <c r="M54" s="14"/>
      <c r="N54" s="14"/>
      <c r="O54" s="15" t="str">
        <f aca="false">IFERROR(N54/K54,"")</f>
        <v/>
      </c>
      <c r="P54" s="13"/>
    </row>
    <row r="55" customFormat="false" ht="15" hidden="false" customHeight="false" outlineLevel="0" collapsed="false">
      <c r="A55" s="0" t="str">
        <f aca="false">IF(D55="","",ROW()-11)</f>
        <v/>
      </c>
      <c r="B55" s="13"/>
      <c r="C55" s="13"/>
      <c r="D55" s="13"/>
      <c r="E55" s="13"/>
      <c r="F55" s="13"/>
      <c r="G55" s="13"/>
      <c r="H55" s="13"/>
      <c r="I55" s="13"/>
      <c r="J55" s="14"/>
      <c r="K55" s="14"/>
      <c r="L55" s="14"/>
      <c r="M55" s="14"/>
      <c r="N55" s="14"/>
      <c r="O55" s="15" t="str">
        <f aca="false">IFERROR(N55/K55,"")</f>
        <v/>
      </c>
      <c r="P55" s="13"/>
    </row>
    <row r="56" customFormat="false" ht="15" hidden="false" customHeight="false" outlineLevel="0" collapsed="false">
      <c r="A56" s="0" t="str">
        <f aca="false">IF(D56="","",ROW()-11)</f>
        <v/>
      </c>
      <c r="B56" s="13"/>
      <c r="C56" s="13"/>
      <c r="D56" s="13"/>
      <c r="E56" s="13"/>
      <c r="F56" s="13"/>
      <c r="G56" s="13"/>
      <c r="H56" s="13"/>
      <c r="I56" s="13"/>
      <c r="J56" s="14"/>
      <c r="K56" s="14"/>
      <c r="L56" s="14"/>
      <c r="M56" s="14"/>
      <c r="N56" s="14"/>
      <c r="O56" s="15" t="str">
        <f aca="false">IFERROR(N56/K56,"")</f>
        <v/>
      </c>
      <c r="P56" s="13"/>
    </row>
    <row r="57" customFormat="false" ht="15" hidden="false" customHeight="false" outlineLevel="0" collapsed="false">
      <c r="A57" s="0" t="str">
        <f aca="false">IF(D57="","",ROW()-11)</f>
        <v/>
      </c>
      <c r="B57" s="13"/>
      <c r="C57" s="13"/>
      <c r="D57" s="13"/>
      <c r="E57" s="13"/>
      <c r="F57" s="13"/>
      <c r="G57" s="13"/>
      <c r="H57" s="13"/>
      <c r="I57" s="13"/>
      <c r="J57" s="14"/>
      <c r="K57" s="14"/>
      <c r="L57" s="14"/>
      <c r="M57" s="14"/>
      <c r="N57" s="14"/>
      <c r="O57" s="15" t="str">
        <f aca="false">IFERROR(N57/K57,"")</f>
        <v/>
      </c>
      <c r="P57" s="13"/>
    </row>
    <row r="58" customFormat="false" ht="15" hidden="false" customHeight="false" outlineLevel="0" collapsed="false">
      <c r="A58" s="0" t="str">
        <f aca="false">IF(D58="","",ROW()-11)</f>
        <v/>
      </c>
      <c r="B58" s="13"/>
      <c r="C58" s="13"/>
      <c r="D58" s="13"/>
      <c r="E58" s="13"/>
      <c r="F58" s="13"/>
      <c r="G58" s="13"/>
      <c r="H58" s="13"/>
      <c r="I58" s="13"/>
      <c r="J58" s="14"/>
      <c r="K58" s="14"/>
      <c r="L58" s="14"/>
      <c r="M58" s="14"/>
      <c r="N58" s="14"/>
      <c r="O58" s="15" t="str">
        <f aca="false">IFERROR(N58/K58,"")</f>
        <v/>
      </c>
      <c r="P58" s="13"/>
    </row>
    <row r="59" customFormat="false" ht="15" hidden="false" customHeight="false" outlineLevel="0" collapsed="false">
      <c r="A59" s="0" t="str">
        <f aca="false">IF(D59="","",ROW()-11)</f>
        <v/>
      </c>
      <c r="B59" s="13"/>
      <c r="C59" s="13"/>
      <c r="D59" s="13"/>
      <c r="E59" s="13"/>
      <c r="F59" s="13"/>
      <c r="G59" s="13"/>
      <c r="H59" s="13"/>
      <c r="I59" s="13"/>
      <c r="J59" s="14"/>
      <c r="K59" s="14"/>
      <c r="L59" s="14"/>
      <c r="M59" s="14"/>
      <c r="N59" s="14"/>
      <c r="O59" s="15" t="str">
        <f aca="false">IFERROR(N59/K59,"")</f>
        <v/>
      </c>
      <c r="P59" s="13"/>
    </row>
    <row r="60" customFormat="false" ht="15" hidden="false" customHeight="false" outlineLevel="0" collapsed="false">
      <c r="A60" s="0" t="str">
        <f aca="false">IF(D60="","",ROW()-11)</f>
        <v/>
      </c>
      <c r="B60" s="13"/>
      <c r="C60" s="13"/>
      <c r="D60" s="13"/>
      <c r="E60" s="13"/>
      <c r="F60" s="13"/>
      <c r="G60" s="13"/>
      <c r="H60" s="13"/>
      <c r="I60" s="13"/>
      <c r="J60" s="14"/>
      <c r="K60" s="14"/>
      <c r="L60" s="14"/>
      <c r="M60" s="14"/>
      <c r="N60" s="14"/>
      <c r="O60" s="15" t="str">
        <f aca="false">IFERROR(N60/K60,"")</f>
        <v/>
      </c>
      <c r="P60" s="13"/>
    </row>
    <row r="61" customFormat="false" ht="15" hidden="false" customHeight="false" outlineLevel="0" collapsed="false">
      <c r="A61" s="0" t="str">
        <f aca="false">IF(D61="","",ROW()-11)</f>
        <v/>
      </c>
      <c r="B61" s="13"/>
      <c r="C61" s="13"/>
      <c r="D61" s="13"/>
      <c r="E61" s="13"/>
      <c r="F61" s="13"/>
      <c r="G61" s="13"/>
      <c r="H61" s="13"/>
      <c r="I61" s="13"/>
      <c r="J61" s="14"/>
      <c r="K61" s="14"/>
      <c r="L61" s="14"/>
      <c r="M61" s="14"/>
      <c r="N61" s="14"/>
      <c r="O61" s="15" t="str">
        <f aca="false">IFERROR(N61/K61,"")</f>
        <v/>
      </c>
      <c r="P61" s="13"/>
    </row>
    <row r="62" customFormat="false" ht="15" hidden="false" customHeight="false" outlineLevel="0" collapsed="false">
      <c r="A62" s="0" t="str">
        <f aca="false">IF(D62="","",ROW()-11)</f>
        <v/>
      </c>
      <c r="B62" s="13"/>
      <c r="C62" s="13"/>
      <c r="D62" s="13"/>
      <c r="E62" s="13"/>
      <c r="F62" s="13"/>
      <c r="G62" s="13"/>
      <c r="H62" s="13"/>
      <c r="I62" s="13"/>
      <c r="J62" s="14"/>
      <c r="K62" s="14"/>
      <c r="L62" s="14"/>
      <c r="M62" s="14"/>
      <c r="N62" s="14"/>
      <c r="O62" s="15" t="str">
        <f aca="false">IFERROR(N62/K62,"")</f>
        <v/>
      </c>
      <c r="P62" s="13"/>
    </row>
    <row r="63" customFormat="false" ht="15" hidden="false" customHeight="false" outlineLevel="0" collapsed="false">
      <c r="A63" s="0" t="str">
        <f aca="false">IF(D63="","",ROW()-11)</f>
        <v/>
      </c>
      <c r="B63" s="13"/>
      <c r="C63" s="13"/>
      <c r="D63" s="13"/>
      <c r="E63" s="13"/>
      <c r="F63" s="13"/>
      <c r="G63" s="13"/>
      <c r="H63" s="13"/>
      <c r="I63" s="13"/>
      <c r="J63" s="14"/>
      <c r="K63" s="14"/>
      <c r="L63" s="14"/>
      <c r="M63" s="14"/>
      <c r="N63" s="14"/>
      <c r="O63" s="15" t="str">
        <f aca="false">IFERROR(N63/K63,"")</f>
        <v/>
      </c>
      <c r="P63" s="13"/>
    </row>
    <row r="64" customFormat="false" ht="15" hidden="false" customHeight="false" outlineLevel="0" collapsed="false">
      <c r="A64" s="0" t="str">
        <f aca="false">IF(D64="","",ROW()-11)</f>
        <v/>
      </c>
      <c r="B64" s="13"/>
      <c r="C64" s="13"/>
      <c r="D64" s="13"/>
      <c r="E64" s="13"/>
      <c r="F64" s="13"/>
      <c r="G64" s="13"/>
      <c r="H64" s="13"/>
      <c r="I64" s="13"/>
      <c r="J64" s="14"/>
      <c r="K64" s="14"/>
      <c r="L64" s="14"/>
      <c r="M64" s="14"/>
      <c r="N64" s="14"/>
      <c r="O64" s="15" t="str">
        <f aca="false">IFERROR(N64/K64,"")</f>
        <v/>
      </c>
      <c r="P64" s="13"/>
    </row>
    <row r="65" customFormat="false" ht="15" hidden="false" customHeight="false" outlineLevel="0" collapsed="false">
      <c r="A65" s="0" t="str">
        <f aca="false">IF(D65="","",ROW()-11)</f>
        <v/>
      </c>
      <c r="B65" s="13"/>
      <c r="C65" s="13"/>
      <c r="D65" s="13"/>
      <c r="E65" s="13"/>
      <c r="F65" s="13"/>
      <c r="G65" s="13"/>
      <c r="H65" s="13"/>
      <c r="I65" s="13"/>
      <c r="J65" s="14"/>
      <c r="K65" s="14"/>
      <c r="L65" s="14"/>
      <c r="M65" s="14"/>
      <c r="N65" s="14"/>
      <c r="O65" s="15" t="str">
        <f aca="false">IFERROR(N65/K65,"")</f>
        <v/>
      </c>
      <c r="P65" s="13"/>
    </row>
    <row r="66" customFormat="false" ht="15" hidden="false" customHeight="false" outlineLevel="0" collapsed="false">
      <c r="A66" s="0" t="str">
        <f aca="false">IF(D66="","",ROW()-11)</f>
        <v/>
      </c>
      <c r="B66" s="13"/>
      <c r="C66" s="13"/>
      <c r="D66" s="13"/>
      <c r="E66" s="13"/>
      <c r="F66" s="13"/>
      <c r="G66" s="13"/>
      <c r="H66" s="13"/>
      <c r="I66" s="13"/>
      <c r="J66" s="14"/>
      <c r="K66" s="14"/>
      <c r="L66" s="14"/>
      <c r="M66" s="14"/>
      <c r="N66" s="14"/>
      <c r="O66" s="15" t="str">
        <f aca="false">IFERROR(N66/K66,"")</f>
        <v/>
      </c>
      <c r="P66" s="13"/>
    </row>
    <row r="67" customFormat="false" ht="15" hidden="false" customHeight="false" outlineLevel="0" collapsed="false">
      <c r="A67" s="0" t="str">
        <f aca="false">IF(D67="","",ROW()-11)</f>
        <v/>
      </c>
      <c r="B67" s="13"/>
      <c r="C67" s="13"/>
      <c r="D67" s="13"/>
      <c r="E67" s="13"/>
      <c r="F67" s="13"/>
      <c r="G67" s="13"/>
      <c r="H67" s="13"/>
      <c r="I67" s="13"/>
      <c r="J67" s="14"/>
      <c r="K67" s="14"/>
      <c r="L67" s="14"/>
      <c r="M67" s="14"/>
      <c r="N67" s="14"/>
      <c r="O67" s="15" t="str">
        <f aca="false">IFERROR(N67/K67,"")</f>
        <v/>
      </c>
      <c r="P67" s="13"/>
    </row>
    <row r="68" customFormat="false" ht="15" hidden="false" customHeight="false" outlineLevel="0" collapsed="false">
      <c r="A68" s="0" t="str">
        <f aca="false">IF(D68="","",ROW()-11)</f>
        <v/>
      </c>
      <c r="B68" s="13"/>
      <c r="C68" s="13"/>
      <c r="D68" s="13"/>
      <c r="E68" s="13"/>
      <c r="F68" s="13"/>
      <c r="G68" s="13"/>
      <c r="H68" s="13"/>
      <c r="I68" s="13"/>
      <c r="J68" s="14"/>
      <c r="K68" s="14"/>
      <c r="L68" s="14"/>
      <c r="M68" s="14"/>
      <c r="N68" s="14"/>
      <c r="O68" s="15" t="str">
        <f aca="false">IFERROR(N68/K68,"")</f>
        <v/>
      </c>
      <c r="P68" s="13"/>
    </row>
    <row r="69" customFormat="false" ht="15" hidden="false" customHeight="false" outlineLevel="0" collapsed="false">
      <c r="A69" s="0" t="str">
        <f aca="false">IF(D69="","",ROW()-11)</f>
        <v/>
      </c>
      <c r="B69" s="13"/>
      <c r="C69" s="13"/>
      <c r="D69" s="13"/>
      <c r="E69" s="13"/>
      <c r="F69" s="13"/>
      <c r="G69" s="13"/>
      <c r="H69" s="13"/>
      <c r="I69" s="13"/>
      <c r="J69" s="14"/>
      <c r="K69" s="14"/>
      <c r="L69" s="14"/>
      <c r="M69" s="14"/>
      <c r="N69" s="14"/>
      <c r="O69" s="15" t="str">
        <f aca="false">IFERROR(N69/K69,"")</f>
        <v/>
      </c>
      <c r="P69" s="13"/>
    </row>
    <row r="70" customFormat="false" ht="15" hidden="false" customHeight="false" outlineLevel="0" collapsed="false">
      <c r="A70" s="0" t="str">
        <f aca="false">IF(D70="","",ROW()-11)</f>
        <v/>
      </c>
      <c r="B70" s="13"/>
      <c r="C70" s="13"/>
      <c r="D70" s="13"/>
      <c r="E70" s="13"/>
      <c r="F70" s="13"/>
      <c r="G70" s="13"/>
      <c r="H70" s="13"/>
      <c r="I70" s="13"/>
      <c r="J70" s="14"/>
      <c r="K70" s="14"/>
      <c r="L70" s="14"/>
      <c r="M70" s="14"/>
      <c r="N70" s="14"/>
      <c r="O70" s="15" t="str">
        <f aca="false">IFERROR(N70/K70,"")</f>
        <v/>
      </c>
      <c r="P70" s="13"/>
    </row>
    <row r="71" customFormat="false" ht="15" hidden="false" customHeight="false" outlineLevel="0" collapsed="false">
      <c r="A71" s="0" t="str">
        <f aca="false">IF(D71="","",ROW()-11)</f>
        <v/>
      </c>
      <c r="B71" s="13"/>
      <c r="C71" s="13"/>
      <c r="D71" s="13"/>
      <c r="E71" s="13"/>
      <c r="F71" s="13"/>
      <c r="G71" s="13"/>
      <c r="H71" s="13"/>
      <c r="I71" s="13"/>
      <c r="J71" s="14"/>
      <c r="K71" s="14"/>
      <c r="L71" s="14"/>
      <c r="M71" s="14"/>
      <c r="N71" s="14"/>
      <c r="O71" s="15" t="str">
        <f aca="false">IFERROR(N71/K71,"")</f>
        <v/>
      </c>
      <c r="P71" s="13"/>
    </row>
    <row r="72" customFormat="false" ht="15" hidden="false" customHeight="false" outlineLevel="0" collapsed="false">
      <c r="A72" s="0" t="str">
        <f aca="false">IF(D72="","",ROW()-11)</f>
        <v/>
      </c>
      <c r="B72" s="13"/>
      <c r="C72" s="13"/>
      <c r="D72" s="13"/>
      <c r="E72" s="13"/>
      <c r="F72" s="13"/>
      <c r="G72" s="13"/>
      <c r="H72" s="13"/>
      <c r="I72" s="13"/>
      <c r="J72" s="14"/>
      <c r="K72" s="14"/>
      <c r="L72" s="14"/>
      <c r="M72" s="14"/>
      <c r="N72" s="14"/>
      <c r="O72" s="15" t="str">
        <f aca="false">IFERROR(N72/K72,"")</f>
        <v/>
      </c>
      <c r="P72" s="13"/>
    </row>
    <row r="73" customFormat="false" ht="15" hidden="false" customHeight="false" outlineLevel="0" collapsed="false">
      <c r="A73" s="0" t="str">
        <f aca="false">IF(D73="","",ROW()-11)</f>
        <v/>
      </c>
      <c r="B73" s="13"/>
      <c r="C73" s="13"/>
      <c r="D73" s="13"/>
      <c r="E73" s="13"/>
      <c r="F73" s="13"/>
      <c r="G73" s="13"/>
      <c r="H73" s="13"/>
      <c r="I73" s="13"/>
      <c r="J73" s="14"/>
      <c r="K73" s="14"/>
      <c r="L73" s="14"/>
      <c r="M73" s="14"/>
      <c r="N73" s="14"/>
      <c r="O73" s="15" t="str">
        <f aca="false">IFERROR(N73/K73,"")</f>
        <v/>
      </c>
      <c r="P73" s="13"/>
    </row>
    <row r="74" customFormat="false" ht="15" hidden="false" customHeight="false" outlineLevel="0" collapsed="false">
      <c r="A74" s="0" t="str">
        <f aca="false">IF(D74="","",ROW()-11)</f>
        <v/>
      </c>
      <c r="B74" s="13"/>
      <c r="C74" s="13"/>
      <c r="D74" s="13"/>
      <c r="E74" s="13"/>
      <c r="F74" s="13"/>
      <c r="G74" s="13"/>
      <c r="H74" s="13"/>
      <c r="I74" s="13"/>
      <c r="J74" s="14"/>
      <c r="K74" s="14"/>
      <c r="L74" s="14"/>
      <c r="M74" s="14"/>
      <c r="N74" s="14"/>
      <c r="O74" s="15" t="str">
        <f aca="false">IFERROR(N74/K74,"")</f>
        <v/>
      </c>
      <c r="P74" s="13"/>
    </row>
    <row r="75" customFormat="false" ht="15" hidden="false" customHeight="false" outlineLevel="0" collapsed="false">
      <c r="A75" s="0" t="str">
        <f aca="false">IF(D75="","",ROW()-11)</f>
        <v/>
      </c>
      <c r="B75" s="13"/>
      <c r="C75" s="13"/>
      <c r="D75" s="13"/>
      <c r="E75" s="13"/>
      <c r="F75" s="13"/>
      <c r="G75" s="13"/>
      <c r="H75" s="13"/>
      <c r="I75" s="13"/>
      <c r="J75" s="14"/>
      <c r="K75" s="14"/>
      <c r="L75" s="14"/>
      <c r="M75" s="14"/>
      <c r="N75" s="14"/>
      <c r="O75" s="15" t="str">
        <f aca="false">IFERROR(N75/K75,"")</f>
        <v/>
      </c>
      <c r="P75" s="13"/>
    </row>
    <row r="76" customFormat="false" ht="15" hidden="false" customHeight="false" outlineLevel="0" collapsed="false">
      <c r="A76" s="0" t="str">
        <f aca="false">IF(D76="","",ROW()-11)</f>
        <v/>
      </c>
      <c r="B76" s="13"/>
      <c r="C76" s="13"/>
      <c r="D76" s="13"/>
      <c r="E76" s="13"/>
      <c r="F76" s="13"/>
      <c r="G76" s="13"/>
      <c r="H76" s="13"/>
      <c r="I76" s="13"/>
      <c r="J76" s="14"/>
      <c r="K76" s="14"/>
      <c r="L76" s="14"/>
      <c r="M76" s="14"/>
      <c r="N76" s="14"/>
      <c r="O76" s="15" t="str">
        <f aca="false">IFERROR(N76/K76,"")</f>
        <v/>
      </c>
      <c r="P76" s="13"/>
    </row>
    <row r="77" customFormat="false" ht="15" hidden="false" customHeight="false" outlineLevel="0" collapsed="false">
      <c r="A77" s="0" t="str">
        <f aca="false">IF(D77="","",ROW()-11)</f>
        <v/>
      </c>
      <c r="B77" s="13"/>
      <c r="C77" s="13"/>
      <c r="D77" s="13"/>
      <c r="E77" s="13"/>
      <c r="F77" s="13"/>
      <c r="G77" s="13"/>
      <c r="H77" s="13"/>
      <c r="I77" s="13"/>
      <c r="J77" s="14"/>
      <c r="K77" s="14"/>
      <c r="L77" s="14"/>
      <c r="M77" s="14"/>
      <c r="N77" s="14"/>
      <c r="O77" s="15" t="str">
        <f aca="false">IFERROR(N77/K77,"")</f>
        <v/>
      </c>
      <c r="P77" s="13"/>
    </row>
    <row r="78" customFormat="false" ht="15" hidden="false" customHeight="false" outlineLevel="0" collapsed="false">
      <c r="A78" s="0" t="str">
        <f aca="false">IF(D78="","",ROW()-11)</f>
        <v/>
      </c>
      <c r="B78" s="13"/>
      <c r="C78" s="13"/>
      <c r="D78" s="13"/>
      <c r="E78" s="13"/>
      <c r="F78" s="13"/>
      <c r="G78" s="13"/>
      <c r="H78" s="13"/>
      <c r="I78" s="13"/>
      <c r="J78" s="14"/>
      <c r="K78" s="14"/>
      <c r="L78" s="14"/>
      <c r="M78" s="14"/>
      <c r="N78" s="14"/>
      <c r="O78" s="15" t="str">
        <f aca="false">IFERROR(N78/K78,"")</f>
        <v/>
      </c>
      <c r="P78" s="13"/>
    </row>
    <row r="79" customFormat="false" ht="15" hidden="false" customHeight="false" outlineLevel="0" collapsed="false">
      <c r="A79" s="0" t="str">
        <f aca="false">IF(D79="","",ROW()-11)</f>
        <v/>
      </c>
      <c r="B79" s="13"/>
      <c r="C79" s="13"/>
      <c r="D79" s="13"/>
      <c r="E79" s="13"/>
      <c r="F79" s="13"/>
      <c r="G79" s="13"/>
      <c r="H79" s="13"/>
      <c r="I79" s="13"/>
      <c r="J79" s="14"/>
      <c r="K79" s="14"/>
      <c r="L79" s="14"/>
      <c r="M79" s="14"/>
      <c r="N79" s="14"/>
      <c r="O79" s="15" t="str">
        <f aca="false">IFERROR(N79/K79,"")</f>
        <v/>
      </c>
      <c r="P79" s="13"/>
    </row>
    <row r="80" customFormat="false" ht="15" hidden="false" customHeight="false" outlineLevel="0" collapsed="false">
      <c r="A80" s="0" t="str">
        <f aca="false">IF(D80="","",ROW()-11)</f>
        <v/>
      </c>
      <c r="B80" s="13"/>
      <c r="C80" s="13"/>
      <c r="D80" s="13"/>
      <c r="E80" s="13"/>
      <c r="F80" s="13"/>
      <c r="G80" s="13"/>
      <c r="H80" s="13"/>
      <c r="I80" s="13"/>
      <c r="J80" s="14"/>
      <c r="K80" s="14"/>
      <c r="L80" s="14"/>
      <c r="M80" s="14"/>
      <c r="N80" s="14"/>
      <c r="O80" s="15" t="str">
        <f aca="false">IFERROR(N80/K80,"")</f>
        <v/>
      </c>
      <c r="P80" s="13"/>
    </row>
    <row r="81" customFormat="false" ht="15" hidden="false" customHeight="false" outlineLevel="0" collapsed="false">
      <c r="A81" s="0" t="str">
        <f aca="false">IF(D81="","",ROW()-11)</f>
        <v/>
      </c>
      <c r="B81" s="13"/>
      <c r="C81" s="13"/>
      <c r="D81" s="13"/>
      <c r="E81" s="13"/>
      <c r="F81" s="13"/>
      <c r="G81" s="13"/>
      <c r="H81" s="13"/>
      <c r="I81" s="13"/>
      <c r="J81" s="14"/>
      <c r="K81" s="14"/>
      <c r="L81" s="14"/>
      <c r="M81" s="14"/>
      <c r="N81" s="14"/>
      <c r="O81" s="15" t="str">
        <f aca="false">IFERROR(N81/K81,"")</f>
        <v/>
      </c>
      <c r="P81" s="13"/>
    </row>
    <row r="82" customFormat="false" ht="15" hidden="false" customHeight="false" outlineLevel="0" collapsed="false">
      <c r="A82" s="0" t="str">
        <f aca="false">IF(D82="","",ROW()-11)</f>
        <v/>
      </c>
      <c r="B82" s="13"/>
      <c r="C82" s="13"/>
      <c r="D82" s="13"/>
      <c r="E82" s="13"/>
      <c r="F82" s="13"/>
      <c r="G82" s="13"/>
      <c r="H82" s="13"/>
      <c r="I82" s="13"/>
      <c r="J82" s="14"/>
      <c r="K82" s="14"/>
      <c r="L82" s="14"/>
      <c r="M82" s="14"/>
      <c r="N82" s="14"/>
      <c r="O82" s="15" t="str">
        <f aca="false">IFERROR(N82/K82,"")</f>
        <v/>
      </c>
      <c r="P82" s="13"/>
    </row>
    <row r="83" customFormat="false" ht="15" hidden="false" customHeight="false" outlineLevel="0" collapsed="false">
      <c r="A83" s="0" t="str">
        <f aca="false">IF(D83="","",ROW()-11)</f>
        <v/>
      </c>
      <c r="B83" s="13"/>
      <c r="C83" s="13"/>
      <c r="D83" s="13"/>
      <c r="E83" s="13"/>
      <c r="F83" s="13"/>
      <c r="G83" s="13"/>
      <c r="H83" s="13"/>
      <c r="I83" s="13"/>
      <c r="J83" s="14"/>
      <c r="K83" s="14"/>
      <c r="L83" s="14"/>
      <c r="M83" s="14"/>
      <c r="N83" s="14"/>
      <c r="O83" s="15" t="str">
        <f aca="false">IFERROR(N83/K83,"")</f>
        <v/>
      </c>
      <c r="P83" s="13"/>
    </row>
    <row r="84" customFormat="false" ht="15" hidden="false" customHeight="false" outlineLevel="0" collapsed="false">
      <c r="A84" s="0" t="str">
        <f aca="false">IF(D84="","",ROW()-11)</f>
        <v/>
      </c>
      <c r="B84" s="13"/>
      <c r="C84" s="13"/>
      <c r="D84" s="13"/>
      <c r="E84" s="13"/>
      <c r="F84" s="13"/>
      <c r="G84" s="13"/>
      <c r="H84" s="13"/>
      <c r="I84" s="13"/>
      <c r="J84" s="14"/>
      <c r="K84" s="14"/>
      <c r="L84" s="14"/>
      <c r="M84" s="14"/>
      <c r="N84" s="14"/>
      <c r="O84" s="15" t="str">
        <f aca="false">IFERROR(N84/K84,"")</f>
        <v/>
      </c>
      <c r="P84" s="13"/>
    </row>
    <row r="85" customFormat="false" ht="15" hidden="false" customHeight="false" outlineLevel="0" collapsed="false">
      <c r="A85" s="0" t="str">
        <f aca="false">IF(D85="","",ROW()-11)</f>
        <v/>
      </c>
      <c r="B85" s="13"/>
      <c r="C85" s="13"/>
      <c r="D85" s="13"/>
      <c r="E85" s="13"/>
      <c r="F85" s="13"/>
      <c r="G85" s="13"/>
      <c r="H85" s="13"/>
      <c r="I85" s="13"/>
      <c r="J85" s="14"/>
      <c r="K85" s="14"/>
      <c r="L85" s="14"/>
      <c r="M85" s="14"/>
      <c r="N85" s="14"/>
      <c r="O85" s="15" t="str">
        <f aca="false">IFERROR(N85/K85,"")</f>
        <v/>
      </c>
      <c r="P85" s="13"/>
    </row>
    <row r="86" customFormat="false" ht="15" hidden="false" customHeight="false" outlineLevel="0" collapsed="false">
      <c r="A86" s="0" t="str">
        <f aca="false">IF(D86="","",ROW()-11)</f>
        <v/>
      </c>
      <c r="B86" s="13"/>
      <c r="C86" s="13"/>
      <c r="D86" s="13"/>
      <c r="E86" s="13"/>
      <c r="F86" s="13"/>
      <c r="G86" s="13"/>
      <c r="H86" s="13"/>
      <c r="I86" s="13"/>
      <c r="J86" s="14"/>
      <c r="K86" s="14"/>
      <c r="L86" s="14"/>
      <c r="M86" s="14"/>
      <c r="N86" s="14"/>
      <c r="O86" s="15" t="str">
        <f aca="false">IFERROR(N86/K86,"")</f>
        <v/>
      </c>
      <c r="P86" s="13"/>
    </row>
    <row r="87" customFormat="false" ht="15" hidden="false" customHeight="false" outlineLevel="0" collapsed="false">
      <c r="A87" s="0" t="str">
        <f aca="false">IF(D87="","",ROW()-11)</f>
        <v/>
      </c>
      <c r="B87" s="13"/>
      <c r="C87" s="13"/>
      <c r="D87" s="13"/>
      <c r="E87" s="13"/>
      <c r="F87" s="13"/>
      <c r="G87" s="13"/>
      <c r="H87" s="13"/>
      <c r="I87" s="13"/>
      <c r="J87" s="14"/>
      <c r="K87" s="14"/>
      <c r="L87" s="14"/>
      <c r="M87" s="14"/>
      <c r="N87" s="14"/>
      <c r="O87" s="15" t="str">
        <f aca="false">IFERROR(N87/K87,"")</f>
        <v/>
      </c>
      <c r="P87" s="13"/>
    </row>
    <row r="88" customFormat="false" ht="15" hidden="false" customHeight="false" outlineLevel="0" collapsed="false">
      <c r="A88" s="0" t="str">
        <f aca="false">IF(D88="","",ROW()-11)</f>
        <v/>
      </c>
      <c r="B88" s="13"/>
      <c r="C88" s="13"/>
      <c r="D88" s="13"/>
      <c r="E88" s="13"/>
      <c r="F88" s="13"/>
      <c r="G88" s="13"/>
      <c r="H88" s="13"/>
      <c r="I88" s="13"/>
      <c r="J88" s="14"/>
      <c r="K88" s="14"/>
      <c r="L88" s="14"/>
      <c r="M88" s="14"/>
      <c r="N88" s="14"/>
      <c r="O88" s="15" t="str">
        <f aca="false">IFERROR(N88/K88,"")</f>
        <v/>
      </c>
      <c r="P88" s="13"/>
    </row>
    <row r="89" customFormat="false" ht="15" hidden="false" customHeight="false" outlineLevel="0" collapsed="false">
      <c r="A89" s="0" t="str">
        <f aca="false">IF(D89="","",ROW()-11)</f>
        <v/>
      </c>
      <c r="B89" s="13"/>
      <c r="C89" s="13"/>
      <c r="D89" s="13"/>
      <c r="E89" s="13"/>
      <c r="F89" s="13"/>
      <c r="G89" s="13"/>
      <c r="H89" s="13"/>
      <c r="I89" s="13"/>
      <c r="J89" s="14"/>
      <c r="K89" s="14"/>
      <c r="L89" s="14"/>
      <c r="M89" s="14"/>
      <c r="N89" s="14"/>
      <c r="O89" s="15" t="str">
        <f aca="false">IFERROR(N89/K89,"")</f>
        <v/>
      </c>
      <c r="P89" s="13"/>
    </row>
    <row r="90" customFormat="false" ht="15" hidden="false" customHeight="false" outlineLevel="0" collapsed="false">
      <c r="A90" s="0" t="str">
        <f aca="false">IF(D90="","",ROW()-11)</f>
        <v/>
      </c>
      <c r="B90" s="13"/>
      <c r="C90" s="13"/>
      <c r="D90" s="13"/>
      <c r="E90" s="13"/>
      <c r="F90" s="13"/>
      <c r="G90" s="13"/>
      <c r="H90" s="13"/>
      <c r="I90" s="13"/>
      <c r="J90" s="14"/>
      <c r="K90" s="14"/>
      <c r="L90" s="14"/>
      <c r="M90" s="14"/>
      <c r="N90" s="14"/>
      <c r="O90" s="15" t="str">
        <f aca="false">IFERROR(N90/K90,"")</f>
        <v/>
      </c>
      <c r="P90" s="13"/>
    </row>
    <row r="91" customFormat="false" ht="15" hidden="false" customHeight="false" outlineLevel="0" collapsed="false">
      <c r="A91" s="0" t="str">
        <f aca="false">IF(D91="","",ROW()-11)</f>
        <v/>
      </c>
      <c r="B91" s="13"/>
      <c r="C91" s="13"/>
      <c r="D91" s="13"/>
      <c r="E91" s="13"/>
      <c r="F91" s="13"/>
      <c r="G91" s="13"/>
      <c r="H91" s="13"/>
      <c r="I91" s="13"/>
      <c r="J91" s="14"/>
      <c r="K91" s="14"/>
      <c r="L91" s="14"/>
      <c r="M91" s="14"/>
      <c r="N91" s="14"/>
      <c r="O91" s="15" t="str">
        <f aca="false">IFERROR(N91/K91,"")</f>
        <v/>
      </c>
      <c r="P91" s="13"/>
    </row>
    <row r="92" customFormat="false" ht="15" hidden="false" customHeight="false" outlineLevel="0" collapsed="false">
      <c r="A92" s="0" t="str">
        <f aca="false">IF(D92="","",ROW()-11)</f>
        <v/>
      </c>
      <c r="B92" s="13"/>
      <c r="C92" s="13"/>
      <c r="D92" s="13"/>
      <c r="E92" s="13"/>
      <c r="F92" s="13"/>
      <c r="G92" s="13"/>
      <c r="H92" s="13"/>
      <c r="I92" s="13"/>
      <c r="J92" s="14"/>
      <c r="K92" s="14"/>
      <c r="L92" s="14"/>
      <c r="M92" s="14"/>
      <c r="N92" s="14"/>
      <c r="O92" s="15" t="str">
        <f aca="false">IFERROR(N92/K92,"")</f>
        <v/>
      </c>
      <c r="P92" s="13"/>
    </row>
    <row r="93" customFormat="false" ht="15" hidden="false" customHeight="false" outlineLevel="0" collapsed="false">
      <c r="A93" s="0" t="str">
        <f aca="false">IF(D93="","",ROW()-11)</f>
        <v/>
      </c>
      <c r="B93" s="13"/>
      <c r="C93" s="13"/>
      <c r="D93" s="13"/>
      <c r="E93" s="13"/>
      <c r="F93" s="13"/>
      <c r="G93" s="13"/>
      <c r="H93" s="13"/>
      <c r="I93" s="13"/>
      <c r="J93" s="14"/>
      <c r="K93" s="14"/>
      <c r="L93" s="14"/>
      <c r="M93" s="14"/>
      <c r="N93" s="14"/>
      <c r="O93" s="15" t="str">
        <f aca="false">IFERROR(N93/K93,"")</f>
        <v/>
      </c>
      <c r="P93" s="13"/>
    </row>
    <row r="94" customFormat="false" ht="15" hidden="false" customHeight="false" outlineLevel="0" collapsed="false">
      <c r="A94" s="0" t="str">
        <f aca="false">IF(D94="","",ROW()-11)</f>
        <v/>
      </c>
      <c r="B94" s="13"/>
      <c r="C94" s="13"/>
      <c r="D94" s="13"/>
      <c r="E94" s="13"/>
      <c r="F94" s="13"/>
      <c r="G94" s="13"/>
      <c r="H94" s="13"/>
      <c r="I94" s="13"/>
      <c r="J94" s="14"/>
      <c r="K94" s="14"/>
      <c r="L94" s="14"/>
      <c r="M94" s="14"/>
      <c r="N94" s="14"/>
      <c r="O94" s="15" t="str">
        <f aca="false">IFERROR(N94/K94,"")</f>
        <v/>
      </c>
      <c r="P94" s="13"/>
    </row>
    <row r="95" customFormat="false" ht="15" hidden="false" customHeight="false" outlineLevel="0" collapsed="false">
      <c r="A95" s="0" t="str">
        <f aca="false">IF(D95="","",ROW()-11)</f>
        <v/>
      </c>
      <c r="B95" s="13"/>
      <c r="C95" s="13"/>
      <c r="D95" s="13"/>
      <c r="E95" s="13"/>
      <c r="F95" s="13"/>
      <c r="G95" s="13"/>
      <c r="H95" s="13"/>
      <c r="I95" s="13"/>
      <c r="J95" s="14"/>
      <c r="K95" s="14"/>
      <c r="L95" s="14"/>
      <c r="M95" s="14"/>
      <c r="N95" s="14"/>
      <c r="O95" s="15" t="str">
        <f aca="false">IFERROR(N95/K95,"")</f>
        <v/>
      </c>
      <c r="P95" s="13"/>
    </row>
    <row r="96" customFormat="false" ht="15" hidden="false" customHeight="false" outlineLevel="0" collapsed="false">
      <c r="A96" s="0" t="str">
        <f aca="false">IF(D96="","",ROW()-11)</f>
        <v/>
      </c>
      <c r="B96" s="13"/>
      <c r="C96" s="13"/>
      <c r="D96" s="13"/>
      <c r="E96" s="13"/>
      <c r="F96" s="13"/>
      <c r="G96" s="13"/>
      <c r="H96" s="13"/>
      <c r="I96" s="13"/>
      <c r="J96" s="14"/>
      <c r="K96" s="14"/>
      <c r="L96" s="14"/>
      <c r="M96" s="14"/>
      <c r="N96" s="14"/>
      <c r="O96" s="15" t="str">
        <f aca="false">IFERROR(N96/K96,"")</f>
        <v/>
      </c>
      <c r="P96" s="13"/>
    </row>
    <row r="97" customFormat="false" ht="15" hidden="false" customHeight="false" outlineLevel="0" collapsed="false">
      <c r="A97" s="0" t="str">
        <f aca="false">IF(D97="","",ROW()-11)</f>
        <v/>
      </c>
      <c r="B97" s="13"/>
      <c r="C97" s="13"/>
      <c r="D97" s="13"/>
      <c r="E97" s="13"/>
      <c r="F97" s="13"/>
      <c r="G97" s="13"/>
      <c r="H97" s="13"/>
      <c r="I97" s="13"/>
      <c r="J97" s="14"/>
      <c r="K97" s="14"/>
      <c r="L97" s="14"/>
      <c r="M97" s="14"/>
      <c r="N97" s="14"/>
      <c r="O97" s="15" t="str">
        <f aca="false">IFERROR(N97/K97,"")</f>
        <v/>
      </c>
      <c r="P97" s="13"/>
    </row>
    <row r="98" customFormat="false" ht="15" hidden="false" customHeight="false" outlineLevel="0" collapsed="false">
      <c r="A98" s="0" t="str">
        <f aca="false">IF(D98="","",ROW()-11)</f>
        <v/>
      </c>
      <c r="B98" s="13"/>
      <c r="C98" s="13"/>
      <c r="D98" s="13"/>
      <c r="E98" s="13"/>
      <c r="F98" s="13"/>
      <c r="G98" s="13"/>
      <c r="H98" s="13"/>
      <c r="I98" s="13"/>
      <c r="J98" s="14"/>
      <c r="K98" s="14"/>
      <c r="L98" s="14"/>
      <c r="M98" s="14"/>
      <c r="N98" s="14"/>
      <c r="O98" s="15" t="str">
        <f aca="false">IFERROR(N98/K98,"")</f>
        <v/>
      </c>
      <c r="P98" s="13"/>
    </row>
    <row r="99" customFormat="false" ht="15" hidden="false" customHeight="false" outlineLevel="0" collapsed="false">
      <c r="A99" s="0" t="str">
        <f aca="false">IF(D99="","",ROW()-11)</f>
        <v/>
      </c>
      <c r="B99" s="13"/>
      <c r="C99" s="13"/>
      <c r="D99" s="13"/>
      <c r="E99" s="13"/>
      <c r="F99" s="13"/>
      <c r="G99" s="13"/>
      <c r="H99" s="13"/>
      <c r="I99" s="13"/>
      <c r="J99" s="14"/>
      <c r="K99" s="14"/>
      <c r="L99" s="14"/>
      <c r="M99" s="14"/>
      <c r="N99" s="14"/>
      <c r="O99" s="15" t="str">
        <f aca="false">IFERROR(N99/K99,"")</f>
        <v/>
      </c>
      <c r="P99" s="13"/>
    </row>
    <row r="100" customFormat="false" ht="15" hidden="false" customHeight="false" outlineLevel="0" collapsed="false">
      <c r="A100" s="0" t="str">
        <f aca="false">IF(D100="","",ROW()-11)</f>
        <v/>
      </c>
      <c r="B100" s="13"/>
      <c r="C100" s="13"/>
      <c r="D100" s="13"/>
      <c r="E100" s="13"/>
      <c r="F100" s="13"/>
      <c r="G100" s="13"/>
      <c r="H100" s="13"/>
      <c r="I100" s="13"/>
      <c r="J100" s="14"/>
      <c r="K100" s="14"/>
      <c r="L100" s="14"/>
      <c r="M100" s="14"/>
      <c r="N100" s="14"/>
      <c r="O100" s="15" t="str">
        <f aca="false">IFERROR(N100/K100,"")</f>
        <v/>
      </c>
      <c r="P100" s="13"/>
    </row>
    <row r="101" customFormat="false" ht="15" hidden="false" customHeight="false" outlineLevel="0" collapsed="false">
      <c r="A101" s="0" t="str">
        <f aca="false">IF(D101="","",ROW()-11)</f>
        <v/>
      </c>
      <c r="B101" s="13"/>
      <c r="C101" s="13"/>
      <c r="D101" s="13"/>
      <c r="E101" s="13"/>
      <c r="F101" s="13"/>
      <c r="G101" s="13"/>
      <c r="H101" s="13"/>
      <c r="I101" s="13"/>
      <c r="J101" s="14"/>
      <c r="K101" s="14"/>
      <c r="L101" s="14"/>
      <c r="M101" s="14"/>
      <c r="N101" s="14"/>
      <c r="O101" s="15" t="str">
        <f aca="false">IFERROR(N101/K101,"")</f>
        <v/>
      </c>
      <c r="P101" s="13"/>
    </row>
    <row r="102" customFormat="false" ht="15" hidden="false" customHeight="false" outlineLevel="0" collapsed="false">
      <c r="A102" s="0" t="str">
        <f aca="false">IF(D102="","",ROW()-11)</f>
        <v/>
      </c>
      <c r="B102" s="13"/>
      <c r="C102" s="13"/>
      <c r="D102" s="13"/>
      <c r="E102" s="13"/>
      <c r="F102" s="13"/>
      <c r="G102" s="13"/>
      <c r="H102" s="13"/>
      <c r="I102" s="13"/>
      <c r="J102" s="14"/>
      <c r="K102" s="14"/>
      <c r="L102" s="14"/>
      <c r="M102" s="14"/>
      <c r="N102" s="14"/>
      <c r="O102" s="15" t="str">
        <f aca="false">IFERROR(N102/K102,"")</f>
        <v/>
      </c>
      <c r="P102" s="13"/>
    </row>
    <row r="103" customFormat="false" ht="15" hidden="false" customHeight="false" outlineLevel="0" collapsed="false">
      <c r="A103" s="0" t="str">
        <f aca="false">IF(D103="","",ROW()-11)</f>
        <v/>
      </c>
      <c r="B103" s="13"/>
      <c r="C103" s="13"/>
      <c r="D103" s="13"/>
      <c r="E103" s="13"/>
      <c r="F103" s="13"/>
      <c r="G103" s="13"/>
      <c r="H103" s="13"/>
      <c r="I103" s="13"/>
      <c r="J103" s="14"/>
      <c r="K103" s="14"/>
      <c r="L103" s="14"/>
      <c r="M103" s="14"/>
      <c r="N103" s="14"/>
      <c r="O103" s="15" t="str">
        <f aca="false">IFERROR(N103/K103,"")</f>
        <v/>
      </c>
      <c r="P103" s="13"/>
    </row>
    <row r="104" customFormat="false" ht="15" hidden="false" customHeight="false" outlineLevel="0" collapsed="false">
      <c r="A104" s="0" t="str">
        <f aca="false">IF(D104="","",ROW()-11)</f>
        <v/>
      </c>
      <c r="B104" s="13"/>
      <c r="C104" s="13"/>
      <c r="D104" s="13"/>
      <c r="E104" s="13"/>
      <c r="F104" s="13"/>
      <c r="G104" s="13"/>
      <c r="H104" s="13"/>
      <c r="I104" s="13"/>
      <c r="J104" s="14"/>
      <c r="K104" s="14"/>
      <c r="L104" s="14"/>
      <c r="M104" s="14"/>
      <c r="N104" s="14"/>
      <c r="O104" s="15" t="str">
        <f aca="false">IFERROR(N104/K104,"")</f>
        <v/>
      </c>
      <c r="P104" s="13"/>
    </row>
    <row r="105" customFormat="false" ht="15" hidden="false" customHeight="false" outlineLevel="0" collapsed="false">
      <c r="A105" s="0" t="str">
        <f aca="false">IF(D105="","",ROW()-11)</f>
        <v/>
      </c>
      <c r="B105" s="13"/>
      <c r="C105" s="13"/>
      <c r="D105" s="13"/>
      <c r="E105" s="13"/>
      <c r="F105" s="13"/>
      <c r="G105" s="13"/>
      <c r="H105" s="13"/>
      <c r="I105" s="13"/>
      <c r="J105" s="14"/>
      <c r="K105" s="14"/>
      <c r="L105" s="14"/>
      <c r="M105" s="14"/>
      <c r="N105" s="14"/>
      <c r="O105" s="15" t="str">
        <f aca="false">IFERROR(N105/K105,"")</f>
        <v/>
      </c>
      <c r="P105" s="13"/>
    </row>
    <row r="106" customFormat="false" ht="15" hidden="false" customHeight="false" outlineLevel="0" collapsed="false">
      <c r="A106" s="0" t="str">
        <f aca="false">IF(D106="","",ROW()-11)</f>
        <v/>
      </c>
      <c r="B106" s="13"/>
      <c r="C106" s="13"/>
      <c r="D106" s="13"/>
      <c r="E106" s="13"/>
      <c r="F106" s="13"/>
      <c r="G106" s="13"/>
      <c r="H106" s="13"/>
      <c r="I106" s="13"/>
      <c r="J106" s="14"/>
      <c r="K106" s="14"/>
      <c r="L106" s="14"/>
      <c r="M106" s="14"/>
      <c r="N106" s="14"/>
      <c r="O106" s="15" t="str">
        <f aca="false">IFERROR(N106/K106,"")</f>
        <v/>
      </c>
      <c r="P106" s="13"/>
    </row>
    <row r="107" customFormat="false" ht="15" hidden="false" customHeight="false" outlineLevel="0" collapsed="false">
      <c r="A107" s="0" t="str">
        <f aca="false">IF(D107="","",ROW()-11)</f>
        <v/>
      </c>
      <c r="B107" s="13"/>
      <c r="C107" s="13"/>
      <c r="D107" s="13"/>
      <c r="E107" s="13"/>
      <c r="F107" s="13"/>
      <c r="G107" s="13"/>
      <c r="H107" s="13"/>
      <c r="I107" s="13"/>
      <c r="J107" s="14"/>
      <c r="K107" s="14"/>
      <c r="L107" s="14"/>
      <c r="M107" s="14"/>
      <c r="N107" s="14"/>
      <c r="O107" s="15" t="str">
        <f aca="false">IFERROR(N107/K107,"")</f>
        <v/>
      </c>
      <c r="P107" s="13"/>
    </row>
    <row r="108" customFormat="false" ht="15" hidden="false" customHeight="false" outlineLevel="0" collapsed="false">
      <c r="A108" s="0" t="str">
        <f aca="false">IF(D108="","",ROW()-11)</f>
        <v/>
      </c>
      <c r="B108" s="13"/>
      <c r="C108" s="13"/>
      <c r="D108" s="13"/>
      <c r="E108" s="13"/>
      <c r="F108" s="13"/>
      <c r="G108" s="13"/>
      <c r="H108" s="13"/>
      <c r="I108" s="13"/>
      <c r="J108" s="14"/>
      <c r="K108" s="14"/>
      <c r="L108" s="14"/>
      <c r="M108" s="14"/>
      <c r="N108" s="14"/>
      <c r="O108" s="15" t="str">
        <f aca="false">IFERROR(N108/K108,"")</f>
        <v/>
      </c>
      <c r="P108" s="13"/>
    </row>
    <row r="109" customFormat="false" ht="15" hidden="false" customHeight="false" outlineLevel="0" collapsed="false">
      <c r="A109" s="0" t="str">
        <f aca="false">IF(D109="","",ROW()-11)</f>
        <v/>
      </c>
      <c r="B109" s="13"/>
      <c r="C109" s="13"/>
      <c r="D109" s="13"/>
      <c r="E109" s="13"/>
      <c r="F109" s="13"/>
      <c r="G109" s="13"/>
      <c r="H109" s="13"/>
      <c r="I109" s="13"/>
      <c r="J109" s="14"/>
      <c r="K109" s="14"/>
      <c r="L109" s="14"/>
      <c r="M109" s="14"/>
      <c r="N109" s="14"/>
      <c r="O109" s="15" t="str">
        <f aca="false">IFERROR(N109/K109,"")</f>
        <v/>
      </c>
      <c r="P109" s="13"/>
    </row>
    <row r="110" customFormat="false" ht="15" hidden="false" customHeight="false" outlineLevel="0" collapsed="false">
      <c r="A110" s="0" t="str">
        <f aca="false">IF(D110="","",ROW()-11)</f>
        <v/>
      </c>
      <c r="B110" s="13"/>
      <c r="C110" s="13"/>
      <c r="D110" s="13"/>
      <c r="E110" s="13"/>
      <c r="F110" s="13"/>
      <c r="G110" s="13"/>
      <c r="H110" s="13"/>
      <c r="I110" s="13"/>
      <c r="J110" s="14"/>
      <c r="K110" s="14"/>
      <c r="L110" s="14"/>
      <c r="M110" s="14"/>
      <c r="N110" s="14"/>
      <c r="O110" s="15" t="str">
        <f aca="false">IFERROR(N110/K110,"")</f>
        <v/>
      </c>
      <c r="P110" s="13"/>
    </row>
    <row r="111" customFormat="false" ht="15" hidden="false" customHeight="false" outlineLevel="0" collapsed="false">
      <c r="A111" s="0" t="str">
        <f aca="false">IF(D111="","",ROW()-11)</f>
        <v/>
      </c>
      <c r="B111" s="13"/>
      <c r="C111" s="13"/>
      <c r="D111" s="13"/>
      <c r="E111" s="13"/>
      <c r="F111" s="13"/>
      <c r="G111" s="13"/>
      <c r="H111" s="13"/>
      <c r="I111" s="13"/>
      <c r="J111" s="14"/>
      <c r="K111" s="14"/>
      <c r="L111" s="14"/>
      <c r="M111" s="14"/>
      <c r="N111" s="14"/>
      <c r="O111" s="15" t="str">
        <f aca="false">IFERROR(N111/K111,"")</f>
        <v/>
      </c>
      <c r="P111" s="13"/>
    </row>
    <row r="112" customFormat="false" ht="15" hidden="false" customHeight="false" outlineLevel="0" collapsed="false">
      <c r="A112" s="0" t="str">
        <f aca="false">IF(D112="","",ROW()-11)</f>
        <v/>
      </c>
      <c r="B112" s="13"/>
      <c r="C112" s="13"/>
      <c r="D112" s="13"/>
      <c r="E112" s="13"/>
      <c r="F112" s="13"/>
      <c r="G112" s="13"/>
      <c r="H112" s="13"/>
      <c r="I112" s="13"/>
      <c r="J112" s="14"/>
      <c r="K112" s="14"/>
      <c r="L112" s="14"/>
      <c r="M112" s="14"/>
      <c r="N112" s="14"/>
      <c r="O112" s="15" t="str">
        <f aca="false">IFERROR(N112/K112,"")</f>
        <v/>
      </c>
      <c r="P112" s="13"/>
    </row>
    <row r="113" customFormat="false" ht="15" hidden="false" customHeight="false" outlineLevel="0" collapsed="false">
      <c r="A113" s="0" t="str">
        <f aca="false">IF(D113="","",ROW()-11)</f>
        <v/>
      </c>
      <c r="B113" s="13"/>
      <c r="C113" s="13"/>
      <c r="D113" s="13"/>
      <c r="E113" s="13"/>
      <c r="F113" s="13"/>
      <c r="G113" s="13"/>
      <c r="H113" s="13"/>
      <c r="I113" s="13"/>
      <c r="J113" s="14"/>
      <c r="K113" s="14"/>
      <c r="L113" s="14"/>
      <c r="M113" s="14"/>
      <c r="N113" s="14"/>
      <c r="O113" s="15" t="str">
        <f aca="false">IFERROR(N113/K113,"")</f>
        <v/>
      </c>
      <c r="P113" s="13"/>
    </row>
    <row r="114" customFormat="false" ht="15" hidden="false" customHeight="false" outlineLevel="0" collapsed="false">
      <c r="A114" s="0" t="str">
        <f aca="false">IF(D114="","",ROW()-11)</f>
        <v/>
      </c>
      <c r="B114" s="13"/>
      <c r="C114" s="13"/>
      <c r="D114" s="13"/>
      <c r="E114" s="13"/>
      <c r="F114" s="13"/>
      <c r="G114" s="13"/>
      <c r="H114" s="13"/>
      <c r="I114" s="13"/>
      <c r="J114" s="14"/>
      <c r="K114" s="14"/>
      <c r="L114" s="14"/>
      <c r="M114" s="14"/>
      <c r="N114" s="14"/>
      <c r="O114" s="15" t="str">
        <f aca="false">IFERROR(N114/K114,"")</f>
        <v/>
      </c>
      <c r="P114" s="13"/>
    </row>
    <row r="115" customFormat="false" ht="15" hidden="false" customHeight="false" outlineLevel="0" collapsed="false">
      <c r="A115" s="0" t="str">
        <f aca="false">IF(D115="","",ROW()-11)</f>
        <v/>
      </c>
      <c r="B115" s="13"/>
      <c r="C115" s="13"/>
      <c r="D115" s="13"/>
      <c r="E115" s="13"/>
      <c r="F115" s="13"/>
      <c r="G115" s="13"/>
      <c r="H115" s="13"/>
      <c r="I115" s="13"/>
      <c r="J115" s="14"/>
      <c r="K115" s="14"/>
      <c r="L115" s="14"/>
      <c r="M115" s="14"/>
      <c r="N115" s="14"/>
      <c r="O115" s="15" t="str">
        <f aca="false">IFERROR(N115/K115,"")</f>
        <v/>
      </c>
      <c r="P115" s="13"/>
    </row>
    <row r="116" customFormat="false" ht="15" hidden="false" customHeight="false" outlineLevel="0" collapsed="false">
      <c r="A116" s="0" t="str">
        <f aca="false">IF(D116="","",ROW()-11)</f>
        <v/>
      </c>
      <c r="B116" s="13"/>
      <c r="C116" s="13"/>
      <c r="D116" s="13"/>
      <c r="E116" s="13"/>
      <c r="F116" s="13"/>
      <c r="G116" s="13"/>
      <c r="H116" s="13"/>
      <c r="I116" s="13"/>
      <c r="J116" s="14"/>
      <c r="K116" s="14"/>
      <c r="L116" s="14"/>
      <c r="M116" s="14"/>
      <c r="N116" s="14"/>
      <c r="O116" s="15" t="str">
        <f aca="false">IFERROR(N116/K116,"")</f>
        <v/>
      </c>
      <c r="P116" s="13"/>
    </row>
    <row r="117" customFormat="false" ht="15" hidden="false" customHeight="false" outlineLevel="0" collapsed="false">
      <c r="A117" s="0" t="str">
        <f aca="false">IF(D117="","",ROW()-11)</f>
        <v/>
      </c>
      <c r="B117" s="13"/>
      <c r="C117" s="13"/>
      <c r="D117" s="13"/>
      <c r="E117" s="13"/>
      <c r="F117" s="13"/>
      <c r="G117" s="13"/>
      <c r="H117" s="13"/>
      <c r="I117" s="13"/>
      <c r="J117" s="14"/>
      <c r="K117" s="14"/>
      <c r="L117" s="14"/>
      <c r="M117" s="14"/>
      <c r="N117" s="14"/>
      <c r="O117" s="15" t="str">
        <f aca="false">IFERROR(N117/K117,"")</f>
        <v/>
      </c>
      <c r="P117" s="13"/>
    </row>
    <row r="118" customFormat="false" ht="15" hidden="false" customHeight="false" outlineLevel="0" collapsed="false">
      <c r="A118" s="0" t="str">
        <f aca="false">IF(D118="","",ROW()-11)</f>
        <v/>
      </c>
      <c r="B118" s="13"/>
      <c r="C118" s="13"/>
      <c r="D118" s="13"/>
      <c r="E118" s="13"/>
      <c r="F118" s="13"/>
      <c r="G118" s="13"/>
      <c r="H118" s="13"/>
      <c r="I118" s="13"/>
      <c r="J118" s="14"/>
      <c r="K118" s="14"/>
      <c r="L118" s="14"/>
      <c r="M118" s="14"/>
      <c r="N118" s="14"/>
      <c r="O118" s="15" t="str">
        <f aca="false">IFERROR(N118/K118,"")</f>
        <v/>
      </c>
      <c r="P118" s="13"/>
    </row>
    <row r="119" customFormat="false" ht="15" hidden="false" customHeight="false" outlineLevel="0" collapsed="false">
      <c r="A119" s="0" t="str">
        <f aca="false">IF(D119="","",ROW()-11)</f>
        <v/>
      </c>
      <c r="B119" s="13"/>
      <c r="C119" s="13"/>
      <c r="D119" s="13"/>
      <c r="E119" s="13"/>
      <c r="F119" s="13"/>
      <c r="G119" s="13"/>
      <c r="H119" s="13"/>
      <c r="I119" s="13"/>
      <c r="J119" s="14"/>
      <c r="K119" s="14"/>
      <c r="L119" s="14"/>
      <c r="M119" s="14"/>
      <c r="N119" s="14"/>
      <c r="O119" s="15" t="str">
        <f aca="false">IFERROR(N119/K119,"")</f>
        <v/>
      </c>
      <c r="P119" s="13"/>
    </row>
    <row r="120" customFormat="false" ht="15" hidden="false" customHeight="false" outlineLevel="0" collapsed="false">
      <c r="A120" s="0" t="str">
        <f aca="false">IF(D120="","",ROW()-11)</f>
        <v/>
      </c>
      <c r="B120" s="13"/>
      <c r="C120" s="13"/>
      <c r="D120" s="13"/>
      <c r="E120" s="13"/>
      <c r="F120" s="13"/>
      <c r="G120" s="13"/>
      <c r="H120" s="13"/>
      <c r="I120" s="13"/>
      <c r="J120" s="14"/>
      <c r="K120" s="14"/>
      <c r="L120" s="14"/>
      <c r="M120" s="14"/>
      <c r="N120" s="14"/>
      <c r="O120" s="15" t="str">
        <f aca="false">IFERROR(N120/K120,"")</f>
        <v/>
      </c>
      <c r="P120" s="13"/>
    </row>
    <row r="121" customFormat="false" ht="15" hidden="false" customHeight="false" outlineLevel="0" collapsed="false">
      <c r="A121" s="0" t="str">
        <f aca="false">IF(D121="","",ROW()-11)</f>
        <v/>
      </c>
      <c r="B121" s="13"/>
      <c r="C121" s="13"/>
      <c r="D121" s="13"/>
      <c r="E121" s="13"/>
      <c r="F121" s="13"/>
      <c r="G121" s="13"/>
      <c r="H121" s="13"/>
      <c r="I121" s="13"/>
      <c r="J121" s="14"/>
      <c r="K121" s="14"/>
      <c r="L121" s="14"/>
      <c r="M121" s="14"/>
      <c r="N121" s="14"/>
      <c r="O121" s="15" t="str">
        <f aca="false">IFERROR(N121/K121,"")</f>
        <v/>
      </c>
      <c r="P121" s="13"/>
    </row>
    <row r="122" customFormat="false" ht="15" hidden="false" customHeight="false" outlineLevel="0" collapsed="false">
      <c r="A122" s="0" t="str">
        <f aca="false">IF(D122="","",ROW()-11)</f>
        <v/>
      </c>
      <c r="B122" s="13"/>
      <c r="C122" s="13"/>
      <c r="D122" s="13"/>
      <c r="E122" s="13"/>
      <c r="F122" s="13"/>
      <c r="G122" s="13"/>
      <c r="H122" s="13"/>
      <c r="I122" s="13"/>
      <c r="J122" s="14"/>
      <c r="K122" s="14"/>
      <c r="L122" s="14"/>
      <c r="M122" s="14"/>
      <c r="N122" s="14"/>
      <c r="O122" s="15" t="str">
        <f aca="false">IFERROR(N122/K122,"")</f>
        <v/>
      </c>
      <c r="P122" s="13"/>
    </row>
    <row r="123" customFormat="false" ht="15" hidden="false" customHeight="false" outlineLevel="0" collapsed="false">
      <c r="A123" s="0" t="str">
        <f aca="false">IF(D123="","",ROW()-11)</f>
        <v/>
      </c>
      <c r="B123" s="13"/>
      <c r="C123" s="13"/>
      <c r="D123" s="13"/>
      <c r="E123" s="13"/>
      <c r="F123" s="13"/>
      <c r="G123" s="13"/>
      <c r="H123" s="13"/>
      <c r="I123" s="13"/>
      <c r="J123" s="14"/>
      <c r="K123" s="14"/>
      <c r="L123" s="14"/>
      <c r="M123" s="14"/>
      <c r="N123" s="14"/>
      <c r="O123" s="15" t="str">
        <f aca="false">IFERROR(N123/K123,"")</f>
        <v/>
      </c>
      <c r="P123" s="13"/>
    </row>
    <row r="124" customFormat="false" ht="15" hidden="false" customHeight="false" outlineLevel="0" collapsed="false">
      <c r="A124" s="0" t="str">
        <f aca="false">IF(D124="","",ROW()-11)</f>
        <v/>
      </c>
      <c r="B124" s="13"/>
      <c r="C124" s="13"/>
      <c r="D124" s="13"/>
      <c r="E124" s="13"/>
      <c r="F124" s="13"/>
      <c r="G124" s="13"/>
      <c r="H124" s="13"/>
      <c r="I124" s="13"/>
      <c r="J124" s="14"/>
      <c r="K124" s="14"/>
      <c r="L124" s="14"/>
      <c r="M124" s="14"/>
      <c r="N124" s="14"/>
      <c r="O124" s="15" t="str">
        <f aca="false">IFERROR(N124/K124,"")</f>
        <v/>
      </c>
      <c r="P124" s="13"/>
    </row>
    <row r="125" customFormat="false" ht="15" hidden="false" customHeight="false" outlineLevel="0" collapsed="false">
      <c r="A125" s="0" t="str">
        <f aca="false">IF(D125="","",ROW()-11)</f>
        <v/>
      </c>
      <c r="B125" s="13"/>
      <c r="C125" s="13"/>
      <c r="D125" s="13"/>
      <c r="E125" s="13"/>
      <c r="F125" s="13"/>
      <c r="G125" s="13"/>
      <c r="H125" s="13"/>
      <c r="I125" s="13"/>
      <c r="J125" s="14"/>
      <c r="K125" s="14"/>
      <c r="L125" s="14"/>
      <c r="M125" s="14"/>
      <c r="N125" s="14"/>
      <c r="O125" s="15" t="str">
        <f aca="false">IFERROR(N125/K125,"")</f>
        <v/>
      </c>
      <c r="P125" s="13"/>
    </row>
    <row r="126" customFormat="false" ht="15" hidden="false" customHeight="false" outlineLevel="0" collapsed="false">
      <c r="A126" s="0" t="str">
        <f aca="false">IF(D126="","",ROW()-11)</f>
        <v/>
      </c>
      <c r="B126" s="13"/>
      <c r="C126" s="13"/>
      <c r="D126" s="13"/>
      <c r="E126" s="13"/>
      <c r="F126" s="13"/>
      <c r="G126" s="13"/>
      <c r="H126" s="13"/>
      <c r="I126" s="13"/>
      <c r="J126" s="14"/>
      <c r="K126" s="14"/>
      <c r="L126" s="14"/>
      <c r="M126" s="14"/>
      <c r="N126" s="14"/>
      <c r="O126" s="15" t="str">
        <f aca="false">IFERROR(N126/K126,"")</f>
        <v/>
      </c>
      <c r="P126" s="13"/>
    </row>
    <row r="127" customFormat="false" ht="15" hidden="false" customHeight="false" outlineLevel="0" collapsed="false">
      <c r="A127" s="0" t="str">
        <f aca="false">IF(D127="","",ROW()-11)</f>
        <v/>
      </c>
      <c r="B127" s="13"/>
      <c r="C127" s="13"/>
      <c r="D127" s="13"/>
      <c r="E127" s="13"/>
      <c r="F127" s="13"/>
      <c r="G127" s="13"/>
      <c r="H127" s="13"/>
      <c r="I127" s="13"/>
      <c r="J127" s="14"/>
      <c r="K127" s="14"/>
      <c r="L127" s="14"/>
      <c r="M127" s="14"/>
      <c r="N127" s="14"/>
      <c r="O127" s="15" t="str">
        <f aca="false">IFERROR(N127/K127,"")</f>
        <v/>
      </c>
      <c r="P127" s="13"/>
    </row>
    <row r="128" customFormat="false" ht="15" hidden="false" customHeight="false" outlineLevel="0" collapsed="false">
      <c r="A128" s="0" t="str">
        <f aca="false">IF(D128="","",ROW()-11)</f>
        <v/>
      </c>
      <c r="B128" s="13"/>
      <c r="C128" s="13"/>
      <c r="D128" s="13"/>
      <c r="E128" s="13"/>
      <c r="F128" s="13"/>
      <c r="G128" s="13"/>
      <c r="H128" s="13"/>
      <c r="I128" s="13"/>
      <c r="J128" s="14"/>
      <c r="K128" s="14"/>
      <c r="L128" s="14"/>
      <c r="M128" s="14"/>
      <c r="N128" s="14"/>
      <c r="O128" s="15" t="str">
        <f aca="false">IFERROR(N128/K128,"")</f>
        <v/>
      </c>
      <c r="P128" s="13"/>
    </row>
    <row r="129" customFormat="false" ht="15" hidden="false" customHeight="false" outlineLevel="0" collapsed="false">
      <c r="A129" s="0" t="str">
        <f aca="false">IF(D129="","",ROW()-11)</f>
        <v/>
      </c>
      <c r="B129" s="13"/>
      <c r="C129" s="13"/>
      <c r="D129" s="13"/>
      <c r="E129" s="13"/>
      <c r="F129" s="13"/>
      <c r="G129" s="13"/>
      <c r="H129" s="13"/>
      <c r="I129" s="13"/>
      <c r="J129" s="14"/>
      <c r="K129" s="14"/>
      <c r="L129" s="14"/>
      <c r="M129" s="14"/>
      <c r="N129" s="14"/>
      <c r="O129" s="15" t="str">
        <f aca="false">IFERROR(N129/K129,"")</f>
        <v/>
      </c>
      <c r="P129" s="13"/>
    </row>
    <row r="130" customFormat="false" ht="15" hidden="false" customHeight="false" outlineLevel="0" collapsed="false">
      <c r="A130" s="0" t="str">
        <f aca="false">IF(D130="","",ROW()-11)</f>
        <v/>
      </c>
      <c r="B130" s="13"/>
      <c r="C130" s="13"/>
      <c r="D130" s="13"/>
      <c r="E130" s="13"/>
      <c r="F130" s="13"/>
      <c r="G130" s="13"/>
      <c r="H130" s="13"/>
      <c r="I130" s="13"/>
      <c r="J130" s="14"/>
      <c r="K130" s="14"/>
      <c r="L130" s="14"/>
      <c r="M130" s="14"/>
      <c r="N130" s="14"/>
      <c r="O130" s="15" t="str">
        <f aca="false">IFERROR(N130/K130,"")</f>
        <v/>
      </c>
      <c r="P130" s="13"/>
    </row>
    <row r="131" customFormat="false" ht="15" hidden="false" customHeight="false" outlineLevel="0" collapsed="false">
      <c r="A131" s="0" t="str">
        <f aca="false">IF(D131="","",ROW()-11)</f>
        <v/>
      </c>
      <c r="B131" s="13"/>
      <c r="C131" s="13"/>
      <c r="D131" s="13"/>
      <c r="E131" s="13"/>
      <c r="F131" s="13"/>
      <c r="G131" s="13"/>
      <c r="H131" s="13"/>
      <c r="I131" s="13"/>
      <c r="J131" s="14"/>
      <c r="K131" s="14"/>
      <c r="L131" s="14"/>
      <c r="M131" s="14"/>
      <c r="N131" s="14"/>
      <c r="O131" s="15" t="str">
        <f aca="false">IFERROR(N131/K131,"")</f>
        <v/>
      </c>
      <c r="P131" s="13"/>
    </row>
    <row r="132" customFormat="false" ht="15" hidden="false" customHeight="false" outlineLevel="0" collapsed="false">
      <c r="A132" s="0" t="str">
        <f aca="false">IF(D132="","",ROW()-11)</f>
        <v/>
      </c>
      <c r="B132" s="13"/>
      <c r="C132" s="13"/>
      <c r="D132" s="13"/>
      <c r="E132" s="13"/>
      <c r="F132" s="13"/>
      <c r="G132" s="13"/>
      <c r="H132" s="13"/>
      <c r="I132" s="13"/>
      <c r="J132" s="14"/>
      <c r="K132" s="14"/>
      <c r="L132" s="14"/>
      <c r="M132" s="14"/>
      <c r="N132" s="14"/>
      <c r="O132" s="15" t="str">
        <f aca="false">IFERROR(N132/K132,"")</f>
        <v/>
      </c>
      <c r="P132" s="13"/>
    </row>
    <row r="133" customFormat="false" ht="15" hidden="false" customHeight="false" outlineLevel="0" collapsed="false">
      <c r="A133" s="0" t="str">
        <f aca="false">IF(D133="","",ROW()-11)</f>
        <v/>
      </c>
      <c r="B133" s="13"/>
      <c r="C133" s="13"/>
      <c r="D133" s="13"/>
      <c r="E133" s="13"/>
      <c r="F133" s="13"/>
      <c r="G133" s="13"/>
      <c r="H133" s="13"/>
      <c r="I133" s="13"/>
      <c r="J133" s="14"/>
      <c r="K133" s="14"/>
      <c r="L133" s="14"/>
      <c r="M133" s="14"/>
      <c r="N133" s="14"/>
      <c r="O133" s="15" t="str">
        <f aca="false">IFERROR(N133/K133,"")</f>
        <v/>
      </c>
      <c r="P133" s="13"/>
    </row>
    <row r="134" customFormat="false" ht="15" hidden="false" customHeight="false" outlineLevel="0" collapsed="false">
      <c r="A134" s="0" t="str">
        <f aca="false">IF(D134="","",ROW()-11)</f>
        <v/>
      </c>
      <c r="B134" s="13"/>
      <c r="C134" s="13"/>
      <c r="D134" s="13"/>
      <c r="E134" s="13"/>
      <c r="F134" s="13"/>
      <c r="G134" s="13"/>
      <c r="H134" s="13"/>
      <c r="I134" s="13"/>
      <c r="J134" s="14"/>
      <c r="K134" s="14"/>
      <c r="L134" s="14"/>
      <c r="M134" s="14"/>
      <c r="N134" s="14"/>
      <c r="O134" s="15" t="str">
        <f aca="false">IFERROR(N134/K134,"")</f>
        <v/>
      </c>
      <c r="P134" s="13"/>
    </row>
    <row r="135" customFormat="false" ht="15" hidden="false" customHeight="false" outlineLevel="0" collapsed="false">
      <c r="A135" s="0" t="str">
        <f aca="false">IF(D135="","",ROW()-11)</f>
        <v/>
      </c>
      <c r="B135" s="13"/>
      <c r="C135" s="13"/>
      <c r="D135" s="13"/>
      <c r="E135" s="13"/>
      <c r="F135" s="13"/>
      <c r="G135" s="13"/>
      <c r="H135" s="13"/>
      <c r="I135" s="13"/>
      <c r="J135" s="14"/>
      <c r="K135" s="14"/>
      <c r="L135" s="14"/>
      <c r="M135" s="14"/>
      <c r="N135" s="14"/>
      <c r="O135" s="15" t="str">
        <f aca="false">IFERROR(N135/K135,"")</f>
        <v/>
      </c>
      <c r="P135" s="13"/>
    </row>
    <row r="136" customFormat="false" ht="15" hidden="false" customHeight="false" outlineLevel="0" collapsed="false">
      <c r="A136" s="0" t="str">
        <f aca="false">IF(D136="","",ROW()-11)</f>
        <v/>
      </c>
      <c r="B136" s="13"/>
      <c r="C136" s="13"/>
      <c r="D136" s="13"/>
      <c r="E136" s="13"/>
      <c r="F136" s="13"/>
      <c r="G136" s="13"/>
      <c r="H136" s="13"/>
      <c r="I136" s="13"/>
      <c r="J136" s="14"/>
      <c r="K136" s="14"/>
      <c r="L136" s="14"/>
      <c r="M136" s="14"/>
      <c r="N136" s="14"/>
      <c r="O136" s="15" t="str">
        <f aca="false">IFERROR(N136/K136,"")</f>
        <v/>
      </c>
      <c r="P136" s="13"/>
    </row>
    <row r="137" customFormat="false" ht="15" hidden="false" customHeight="false" outlineLevel="0" collapsed="false">
      <c r="A137" s="0" t="str">
        <f aca="false">IF(D137="","",ROW()-11)</f>
        <v/>
      </c>
      <c r="B137" s="13"/>
      <c r="C137" s="13"/>
      <c r="D137" s="13"/>
      <c r="E137" s="13"/>
      <c r="F137" s="13"/>
      <c r="G137" s="13"/>
      <c r="H137" s="13"/>
      <c r="I137" s="13"/>
      <c r="J137" s="14"/>
      <c r="K137" s="14"/>
      <c r="L137" s="14"/>
      <c r="M137" s="14"/>
      <c r="N137" s="14"/>
      <c r="O137" s="15" t="str">
        <f aca="false">IFERROR(N137/K137,"")</f>
        <v/>
      </c>
      <c r="P137" s="13"/>
    </row>
    <row r="138" customFormat="false" ht="15" hidden="false" customHeight="false" outlineLevel="0" collapsed="false">
      <c r="A138" s="0" t="str">
        <f aca="false">IF(D138="","",ROW()-11)</f>
        <v/>
      </c>
      <c r="B138" s="13"/>
      <c r="C138" s="13"/>
      <c r="D138" s="13"/>
      <c r="E138" s="13"/>
      <c r="F138" s="13"/>
      <c r="G138" s="13"/>
      <c r="H138" s="13"/>
      <c r="I138" s="13"/>
      <c r="J138" s="14"/>
      <c r="K138" s="14"/>
      <c r="L138" s="14"/>
      <c r="M138" s="14"/>
      <c r="N138" s="14"/>
      <c r="O138" s="15" t="str">
        <f aca="false">IFERROR(N138/K138,"")</f>
        <v/>
      </c>
      <c r="P138" s="13"/>
    </row>
    <row r="139" customFormat="false" ht="15" hidden="false" customHeight="false" outlineLevel="0" collapsed="false">
      <c r="A139" s="0" t="str">
        <f aca="false">IF(D139="","",ROW()-11)</f>
        <v/>
      </c>
      <c r="B139" s="13"/>
      <c r="C139" s="13"/>
      <c r="D139" s="13"/>
      <c r="E139" s="13"/>
      <c r="F139" s="13"/>
      <c r="G139" s="13"/>
      <c r="H139" s="13"/>
      <c r="I139" s="13"/>
      <c r="J139" s="14"/>
      <c r="K139" s="14"/>
      <c r="L139" s="14"/>
      <c r="M139" s="14"/>
      <c r="N139" s="14"/>
      <c r="O139" s="15" t="str">
        <f aca="false">IFERROR(N139/K139,"")</f>
        <v/>
      </c>
      <c r="P139" s="13"/>
    </row>
    <row r="140" customFormat="false" ht="15" hidden="false" customHeight="false" outlineLevel="0" collapsed="false">
      <c r="A140" s="0" t="str">
        <f aca="false">IF(D140="","",ROW()-11)</f>
        <v/>
      </c>
      <c r="B140" s="13"/>
      <c r="C140" s="13"/>
      <c r="D140" s="13"/>
      <c r="E140" s="13"/>
      <c r="F140" s="13"/>
      <c r="G140" s="13"/>
      <c r="H140" s="13"/>
      <c r="I140" s="13"/>
      <c r="J140" s="14"/>
      <c r="K140" s="14"/>
      <c r="L140" s="14"/>
      <c r="M140" s="14"/>
      <c r="N140" s="14"/>
      <c r="O140" s="15" t="str">
        <f aca="false">IFERROR(N140/K140,"")</f>
        <v/>
      </c>
      <c r="P140" s="13"/>
    </row>
    <row r="141" customFormat="false" ht="15" hidden="false" customHeight="false" outlineLevel="0" collapsed="false">
      <c r="A141" s="0" t="str">
        <f aca="false">IF(D141="","",ROW()-11)</f>
        <v/>
      </c>
      <c r="B141" s="13"/>
      <c r="C141" s="13"/>
      <c r="D141" s="13"/>
      <c r="E141" s="13"/>
      <c r="F141" s="13"/>
      <c r="G141" s="13"/>
      <c r="H141" s="13"/>
      <c r="I141" s="13"/>
      <c r="J141" s="14"/>
      <c r="K141" s="14"/>
      <c r="L141" s="14"/>
      <c r="M141" s="14"/>
      <c r="N141" s="14"/>
      <c r="O141" s="15" t="str">
        <f aca="false">IFERROR(N141/K141,"")</f>
        <v/>
      </c>
      <c r="P141" s="13"/>
    </row>
    <row r="142" customFormat="false" ht="15" hidden="false" customHeight="false" outlineLevel="0" collapsed="false">
      <c r="A142" s="0" t="str">
        <f aca="false">IF(D142="","",ROW()-11)</f>
        <v/>
      </c>
      <c r="B142" s="13"/>
      <c r="C142" s="13"/>
      <c r="D142" s="13"/>
      <c r="E142" s="13"/>
      <c r="F142" s="13"/>
      <c r="G142" s="13"/>
      <c r="H142" s="13"/>
      <c r="I142" s="13"/>
      <c r="J142" s="14"/>
      <c r="K142" s="14"/>
      <c r="L142" s="14"/>
      <c r="M142" s="14"/>
      <c r="N142" s="14"/>
      <c r="O142" s="15" t="str">
        <f aca="false">IFERROR(N142/K142,"")</f>
        <v/>
      </c>
      <c r="P142" s="13"/>
    </row>
    <row r="143" customFormat="false" ht="15" hidden="false" customHeight="false" outlineLevel="0" collapsed="false">
      <c r="A143" s="0" t="str">
        <f aca="false">IF(D143="","",ROW()-11)</f>
        <v/>
      </c>
      <c r="B143" s="13"/>
      <c r="C143" s="13"/>
      <c r="D143" s="13"/>
      <c r="E143" s="13"/>
      <c r="F143" s="13"/>
      <c r="G143" s="13"/>
      <c r="H143" s="13"/>
      <c r="I143" s="13"/>
      <c r="J143" s="14"/>
      <c r="K143" s="14"/>
      <c r="L143" s="14"/>
      <c r="M143" s="14"/>
      <c r="N143" s="14"/>
      <c r="O143" s="15" t="str">
        <f aca="false">IFERROR(N143/K143,"")</f>
        <v/>
      </c>
      <c r="P143" s="13"/>
    </row>
    <row r="144" customFormat="false" ht="15" hidden="false" customHeight="false" outlineLevel="0" collapsed="false">
      <c r="A144" s="0" t="str">
        <f aca="false">IF(D144="","",ROW()-11)</f>
        <v/>
      </c>
      <c r="B144" s="13"/>
      <c r="C144" s="13"/>
      <c r="D144" s="13"/>
      <c r="E144" s="13"/>
      <c r="F144" s="13"/>
      <c r="G144" s="13"/>
      <c r="H144" s="13"/>
      <c r="I144" s="13"/>
      <c r="J144" s="14"/>
      <c r="K144" s="14"/>
      <c r="L144" s="14"/>
      <c r="M144" s="14"/>
      <c r="N144" s="14"/>
      <c r="O144" s="15" t="str">
        <f aca="false">IFERROR(N144/K144,"")</f>
        <v/>
      </c>
      <c r="P144" s="13"/>
    </row>
    <row r="145" customFormat="false" ht="15" hidden="false" customHeight="false" outlineLevel="0" collapsed="false">
      <c r="A145" s="0" t="str">
        <f aca="false">IF(D145="","",ROW()-11)</f>
        <v/>
      </c>
      <c r="B145" s="13"/>
      <c r="C145" s="13"/>
      <c r="D145" s="13"/>
      <c r="E145" s="13"/>
      <c r="F145" s="13"/>
      <c r="G145" s="13"/>
      <c r="H145" s="13"/>
      <c r="I145" s="13"/>
      <c r="J145" s="14"/>
      <c r="K145" s="14"/>
      <c r="L145" s="14"/>
      <c r="M145" s="14"/>
      <c r="N145" s="14"/>
      <c r="O145" s="15" t="str">
        <f aca="false">IFERROR(N145/K145,"")</f>
        <v/>
      </c>
      <c r="P145" s="13"/>
    </row>
    <row r="146" customFormat="false" ht="15" hidden="false" customHeight="false" outlineLevel="0" collapsed="false">
      <c r="A146" s="0" t="str">
        <f aca="false">IF(D146="","",ROW()-11)</f>
        <v/>
      </c>
      <c r="B146" s="13"/>
      <c r="C146" s="13"/>
      <c r="D146" s="13"/>
      <c r="E146" s="13"/>
      <c r="F146" s="13"/>
      <c r="G146" s="13"/>
      <c r="H146" s="13"/>
      <c r="I146" s="13"/>
      <c r="J146" s="14"/>
      <c r="K146" s="14"/>
      <c r="L146" s="14"/>
      <c r="M146" s="14"/>
      <c r="N146" s="14"/>
      <c r="O146" s="15" t="str">
        <f aca="false">IFERROR(N146/K146,"")</f>
        <v/>
      </c>
      <c r="P146" s="13"/>
    </row>
    <row r="147" customFormat="false" ht="15" hidden="false" customHeight="false" outlineLevel="0" collapsed="false">
      <c r="A147" s="0" t="str">
        <f aca="false">IF(D147="","",ROW()-11)</f>
        <v/>
      </c>
      <c r="B147" s="13"/>
      <c r="C147" s="13"/>
      <c r="D147" s="13"/>
      <c r="E147" s="13"/>
      <c r="F147" s="13"/>
      <c r="G147" s="13"/>
      <c r="H147" s="13"/>
      <c r="I147" s="13"/>
      <c r="J147" s="14"/>
      <c r="K147" s="14"/>
      <c r="L147" s="14"/>
      <c r="M147" s="14"/>
      <c r="N147" s="14"/>
      <c r="O147" s="15" t="str">
        <f aca="false">IFERROR(N147/K147,"")</f>
        <v/>
      </c>
      <c r="P147" s="13"/>
    </row>
    <row r="148" customFormat="false" ht="15" hidden="false" customHeight="false" outlineLevel="0" collapsed="false">
      <c r="A148" s="0" t="str">
        <f aca="false">IF(D148="","",ROW()-11)</f>
        <v/>
      </c>
      <c r="B148" s="13"/>
      <c r="C148" s="13"/>
      <c r="D148" s="13"/>
      <c r="E148" s="13"/>
      <c r="F148" s="13"/>
      <c r="G148" s="13"/>
      <c r="H148" s="13"/>
      <c r="I148" s="13"/>
      <c r="J148" s="14"/>
      <c r="K148" s="14"/>
      <c r="L148" s="14"/>
      <c r="M148" s="14"/>
      <c r="N148" s="14"/>
      <c r="O148" s="15" t="str">
        <f aca="false">IFERROR(N148/K148,"")</f>
        <v/>
      </c>
      <c r="P148" s="13"/>
    </row>
    <row r="149" customFormat="false" ht="15" hidden="false" customHeight="false" outlineLevel="0" collapsed="false">
      <c r="A149" s="0" t="str">
        <f aca="false">IF(D149="","",ROW()-11)</f>
        <v/>
      </c>
      <c r="B149" s="13"/>
      <c r="C149" s="13"/>
      <c r="D149" s="13"/>
      <c r="E149" s="13"/>
      <c r="F149" s="13"/>
      <c r="G149" s="13"/>
      <c r="H149" s="13"/>
      <c r="I149" s="13"/>
      <c r="J149" s="14"/>
      <c r="K149" s="14"/>
      <c r="L149" s="14"/>
      <c r="M149" s="14"/>
      <c r="N149" s="14"/>
      <c r="O149" s="15" t="str">
        <f aca="false">IFERROR(N149/K149,"")</f>
        <v/>
      </c>
      <c r="P149" s="13"/>
    </row>
    <row r="150" customFormat="false" ht="15" hidden="false" customHeight="false" outlineLevel="0" collapsed="false">
      <c r="A150" s="0" t="str">
        <f aca="false">IF(D150="","",ROW()-11)</f>
        <v/>
      </c>
      <c r="B150" s="13"/>
      <c r="C150" s="13"/>
      <c r="D150" s="13"/>
      <c r="E150" s="13"/>
      <c r="F150" s="13"/>
      <c r="G150" s="13"/>
      <c r="H150" s="13"/>
      <c r="I150" s="13"/>
      <c r="J150" s="14"/>
      <c r="K150" s="14"/>
      <c r="L150" s="14"/>
      <c r="M150" s="14"/>
      <c r="N150" s="14"/>
      <c r="O150" s="15" t="str">
        <f aca="false">IFERROR(N150/K150,"")</f>
        <v/>
      </c>
      <c r="P150" s="13"/>
    </row>
    <row r="151" customFormat="false" ht="15" hidden="false" customHeight="false" outlineLevel="0" collapsed="false">
      <c r="A151" s="0" t="str">
        <f aca="false">IF(D151="","",ROW()-11)</f>
        <v/>
      </c>
      <c r="B151" s="13"/>
      <c r="C151" s="13"/>
      <c r="D151" s="13"/>
      <c r="E151" s="13"/>
      <c r="F151" s="13"/>
      <c r="G151" s="13"/>
      <c r="H151" s="13"/>
      <c r="I151" s="13"/>
      <c r="J151" s="14"/>
      <c r="K151" s="14"/>
      <c r="L151" s="14"/>
      <c r="M151" s="14"/>
      <c r="N151" s="14"/>
      <c r="O151" s="15" t="str">
        <f aca="false">IFERROR(N151/K151,"")</f>
        <v/>
      </c>
      <c r="P151" s="13"/>
    </row>
    <row r="152" customFormat="false" ht="15" hidden="false" customHeight="false" outlineLevel="0" collapsed="false">
      <c r="A152" s="0" t="str">
        <f aca="false">IF(D152="","",ROW()-11)</f>
        <v/>
      </c>
      <c r="B152" s="13"/>
      <c r="C152" s="13"/>
      <c r="D152" s="13"/>
      <c r="E152" s="13"/>
      <c r="F152" s="13"/>
      <c r="G152" s="13"/>
      <c r="H152" s="13"/>
      <c r="I152" s="13"/>
      <c r="J152" s="14"/>
      <c r="K152" s="14"/>
      <c r="L152" s="14"/>
      <c r="M152" s="14"/>
      <c r="N152" s="14"/>
      <c r="O152" s="15" t="str">
        <f aca="false">IFERROR(N152/K152,"")</f>
        <v/>
      </c>
      <c r="P152" s="13"/>
    </row>
    <row r="153" customFormat="false" ht="15" hidden="false" customHeight="false" outlineLevel="0" collapsed="false">
      <c r="A153" s="0" t="str">
        <f aca="false">IF(D153="","",ROW()-11)</f>
        <v/>
      </c>
      <c r="B153" s="13"/>
      <c r="C153" s="13"/>
      <c r="D153" s="13"/>
      <c r="E153" s="13"/>
      <c r="F153" s="13"/>
      <c r="G153" s="13"/>
      <c r="H153" s="13"/>
      <c r="I153" s="13"/>
      <c r="J153" s="14"/>
      <c r="K153" s="14"/>
      <c r="L153" s="14"/>
      <c r="M153" s="14"/>
      <c r="N153" s="14"/>
      <c r="O153" s="15" t="str">
        <f aca="false">IFERROR(N153/K153,"")</f>
        <v/>
      </c>
      <c r="P153" s="13"/>
    </row>
    <row r="154" customFormat="false" ht="15" hidden="false" customHeight="false" outlineLevel="0" collapsed="false">
      <c r="A154" s="0" t="str">
        <f aca="false">IF(D154="","",ROW()-11)</f>
        <v/>
      </c>
      <c r="B154" s="13"/>
      <c r="C154" s="13"/>
      <c r="D154" s="13"/>
      <c r="E154" s="13"/>
      <c r="F154" s="13"/>
      <c r="G154" s="13"/>
      <c r="H154" s="13"/>
      <c r="I154" s="13"/>
      <c r="J154" s="14"/>
      <c r="K154" s="14"/>
      <c r="L154" s="14"/>
      <c r="M154" s="14"/>
      <c r="N154" s="14"/>
      <c r="O154" s="15" t="str">
        <f aca="false">IFERROR(N154/K154,"")</f>
        <v/>
      </c>
      <c r="P154" s="13"/>
    </row>
    <row r="155" customFormat="false" ht="15" hidden="false" customHeight="false" outlineLevel="0" collapsed="false">
      <c r="A155" s="0" t="str">
        <f aca="false">IF(D155="","",ROW()-11)</f>
        <v/>
      </c>
      <c r="B155" s="13"/>
      <c r="C155" s="13"/>
      <c r="D155" s="13"/>
      <c r="E155" s="13"/>
      <c r="F155" s="13"/>
      <c r="G155" s="13"/>
      <c r="H155" s="13"/>
      <c r="I155" s="13"/>
      <c r="J155" s="14"/>
      <c r="K155" s="14"/>
      <c r="L155" s="14"/>
      <c r="M155" s="14"/>
      <c r="N155" s="14"/>
      <c r="O155" s="15" t="str">
        <f aca="false">IFERROR(N155/K155,"")</f>
        <v/>
      </c>
      <c r="P155" s="13"/>
    </row>
    <row r="156" customFormat="false" ht="15" hidden="false" customHeight="false" outlineLevel="0" collapsed="false">
      <c r="A156" s="0" t="str">
        <f aca="false">IF(D156="","",ROW()-11)</f>
        <v/>
      </c>
      <c r="B156" s="13"/>
      <c r="C156" s="13"/>
      <c r="D156" s="13"/>
      <c r="E156" s="13"/>
      <c r="F156" s="13"/>
      <c r="G156" s="13"/>
      <c r="H156" s="13"/>
      <c r="I156" s="13"/>
      <c r="J156" s="14"/>
      <c r="K156" s="14"/>
      <c r="L156" s="14"/>
      <c r="M156" s="14"/>
      <c r="N156" s="14"/>
      <c r="O156" s="15" t="str">
        <f aca="false">IFERROR(N156/K156,"")</f>
        <v/>
      </c>
      <c r="P156" s="13"/>
    </row>
    <row r="157" customFormat="false" ht="15" hidden="false" customHeight="false" outlineLevel="0" collapsed="false">
      <c r="A157" s="0" t="str">
        <f aca="false">IF(D157="","",ROW()-11)</f>
        <v/>
      </c>
      <c r="B157" s="13"/>
      <c r="C157" s="13"/>
      <c r="D157" s="13"/>
      <c r="E157" s="13"/>
      <c r="F157" s="13"/>
      <c r="G157" s="13"/>
      <c r="H157" s="13"/>
      <c r="I157" s="13"/>
      <c r="J157" s="14"/>
      <c r="K157" s="14"/>
      <c r="L157" s="14"/>
      <c r="M157" s="14"/>
      <c r="N157" s="14"/>
      <c r="O157" s="15" t="str">
        <f aca="false">IFERROR(N157/K157,"")</f>
        <v/>
      </c>
      <c r="P157" s="13"/>
    </row>
    <row r="158" customFormat="false" ht="15" hidden="false" customHeight="false" outlineLevel="0" collapsed="false">
      <c r="A158" s="0" t="str">
        <f aca="false">IF(D158="","",ROW()-11)</f>
        <v/>
      </c>
      <c r="B158" s="13"/>
      <c r="C158" s="13"/>
      <c r="D158" s="13"/>
      <c r="E158" s="13"/>
      <c r="F158" s="13"/>
      <c r="G158" s="13"/>
      <c r="H158" s="13"/>
      <c r="I158" s="13"/>
      <c r="J158" s="14"/>
      <c r="K158" s="14"/>
      <c r="L158" s="14"/>
      <c r="M158" s="14"/>
      <c r="N158" s="14"/>
      <c r="O158" s="15" t="str">
        <f aca="false">IFERROR(N158/K158,"")</f>
        <v/>
      </c>
      <c r="P158" s="13"/>
    </row>
    <row r="159" customFormat="false" ht="15" hidden="false" customHeight="false" outlineLevel="0" collapsed="false">
      <c r="A159" s="0" t="str">
        <f aca="false">IF(D159="","",ROW()-11)</f>
        <v/>
      </c>
      <c r="B159" s="13"/>
      <c r="C159" s="13"/>
      <c r="D159" s="13"/>
      <c r="E159" s="13"/>
      <c r="F159" s="13"/>
      <c r="G159" s="13"/>
      <c r="H159" s="13"/>
      <c r="I159" s="13"/>
      <c r="J159" s="14"/>
      <c r="K159" s="14"/>
      <c r="L159" s="14"/>
      <c r="M159" s="14"/>
      <c r="N159" s="14"/>
      <c r="O159" s="15" t="str">
        <f aca="false">IFERROR(N159/K159,"")</f>
        <v/>
      </c>
      <c r="P159" s="13"/>
    </row>
    <row r="160" customFormat="false" ht="15" hidden="false" customHeight="false" outlineLevel="0" collapsed="false">
      <c r="A160" s="0" t="str">
        <f aca="false">IF(D160="","",ROW()-11)</f>
        <v/>
      </c>
      <c r="B160" s="13"/>
      <c r="C160" s="13"/>
      <c r="D160" s="13"/>
      <c r="E160" s="13"/>
      <c r="F160" s="13"/>
      <c r="G160" s="13"/>
      <c r="H160" s="13"/>
      <c r="I160" s="13"/>
      <c r="J160" s="14"/>
      <c r="K160" s="14"/>
      <c r="L160" s="14"/>
      <c r="M160" s="14"/>
      <c r="N160" s="14"/>
      <c r="O160" s="15" t="str">
        <f aca="false">IFERROR(N160/K160,"")</f>
        <v/>
      </c>
      <c r="P160" s="13"/>
    </row>
    <row r="161" customFormat="false" ht="15" hidden="false" customHeight="false" outlineLevel="0" collapsed="false">
      <c r="A161" s="0" t="str">
        <f aca="false">IF(D161="","",ROW()-11)</f>
        <v/>
      </c>
      <c r="B161" s="13"/>
      <c r="C161" s="13"/>
      <c r="D161" s="13"/>
      <c r="E161" s="13"/>
      <c r="F161" s="13"/>
      <c r="G161" s="13"/>
      <c r="H161" s="13"/>
      <c r="I161" s="13"/>
      <c r="J161" s="14"/>
      <c r="K161" s="14"/>
      <c r="L161" s="14"/>
      <c r="M161" s="14"/>
      <c r="N161" s="14"/>
      <c r="O161" s="15" t="str">
        <f aca="false">IFERROR(N161/K161,"")</f>
        <v/>
      </c>
      <c r="P161" s="13"/>
    </row>
    <row r="162" customFormat="false" ht="15" hidden="false" customHeight="false" outlineLevel="0" collapsed="false">
      <c r="A162" s="0" t="str">
        <f aca="false">IF(D162="","",ROW()-11)</f>
        <v/>
      </c>
      <c r="B162" s="13"/>
      <c r="C162" s="13"/>
      <c r="D162" s="13"/>
      <c r="E162" s="13"/>
      <c r="F162" s="13"/>
      <c r="G162" s="13"/>
      <c r="H162" s="13"/>
      <c r="I162" s="13"/>
      <c r="J162" s="14"/>
      <c r="K162" s="14"/>
      <c r="L162" s="14"/>
      <c r="M162" s="14"/>
      <c r="N162" s="14"/>
      <c r="O162" s="15" t="str">
        <f aca="false">IFERROR(N162/K162,"")</f>
        <v/>
      </c>
      <c r="P162" s="13"/>
    </row>
    <row r="163" customFormat="false" ht="15" hidden="false" customHeight="false" outlineLevel="0" collapsed="false">
      <c r="A163" s="0" t="str">
        <f aca="false">IF(D163="","",ROW()-11)</f>
        <v/>
      </c>
      <c r="B163" s="13"/>
      <c r="C163" s="13"/>
      <c r="D163" s="13"/>
      <c r="E163" s="13"/>
      <c r="F163" s="13"/>
      <c r="G163" s="13"/>
      <c r="H163" s="13"/>
      <c r="I163" s="13"/>
      <c r="J163" s="14"/>
      <c r="K163" s="14"/>
      <c r="L163" s="14"/>
      <c r="M163" s="14"/>
      <c r="N163" s="14"/>
      <c r="O163" s="15" t="str">
        <f aca="false">IFERROR(N163/K163,"")</f>
        <v/>
      </c>
      <c r="P163" s="13"/>
    </row>
    <row r="164" customFormat="false" ht="15" hidden="false" customHeight="false" outlineLevel="0" collapsed="false">
      <c r="A164" s="0" t="str">
        <f aca="false">IF(D164="","",ROW()-11)</f>
        <v/>
      </c>
      <c r="B164" s="13"/>
      <c r="C164" s="13"/>
      <c r="D164" s="13"/>
      <c r="E164" s="13"/>
      <c r="F164" s="13"/>
      <c r="G164" s="13"/>
      <c r="H164" s="13"/>
      <c r="I164" s="13"/>
      <c r="J164" s="14"/>
      <c r="K164" s="14"/>
      <c r="L164" s="14"/>
      <c r="M164" s="14"/>
      <c r="N164" s="14"/>
      <c r="O164" s="15" t="str">
        <f aca="false">IFERROR(N164/K164,"")</f>
        <v/>
      </c>
      <c r="P164" s="13"/>
    </row>
    <row r="165" customFormat="false" ht="15" hidden="false" customHeight="false" outlineLevel="0" collapsed="false">
      <c r="A165" s="0" t="str">
        <f aca="false">IF(D165="","",ROW()-11)</f>
        <v/>
      </c>
      <c r="B165" s="13"/>
      <c r="C165" s="13"/>
      <c r="D165" s="13"/>
      <c r="E165" s="13"/>
      <c r="F165" s="13"/>
      <c r="G165" s="13"/>
      <c r="H165" s="13"/>
      <c r="I165" s="13"/>
      <c r="J165" s="14"/>
      <c r="K165" s="14"/>
      <c r="L165" s="14"/>
      <c r="M165" s="14"/>
      <c r="N165" s="14"/>
      <c r="O165" s="15" t="str">
        <f aca="false">IFERROR(N165/K165,"")</f>
        <v/>
      </c>
      <c r="P165" s="13"/>
    </row>
    <row r="166" customFormat="false" ht="15" hidden="false" customHeight="false" outlineLevel="0" collapsed="false">
      <c r="A166" s="0" t="str">
        <f aca="false">IF(D166="","",ROW()-11)</f>
        <v/>
      </c>
      <c r="B166" s="13"/>
      <c r="C166" s="13"/>
      <c r="D166" s="13"/>
      <c r="E166" s="13"/>
      <c r="F166" s="13"/>
      <c r="G166" s="13"/>
      <c r="H166" s="13"/>
      <c r="I166" s="13"/>
      <c r="J166" s="14"/>
      <c r="K166" s="14"/>
      <c r="L166" s="14"/>
      <c r="M166" s="14"/>
      <c r="N166" s="14"/>
      <c r="O166" s="15" t="str">
        <f aca="false">IFERROR(N166/K166,"")</f>
        <v/>
      </c>
      <c r="P166" s="13"/>
    </row>
    <row r="167" customFormat="false" ht="15" hidden="false" customHeight="false" outlineLevel="0" collapsed="false">
      <c r="A167" s="0" t="str">
        <f aca="false">IF(D167="","",ROW()-11)</f>
        <v/>
      </c>
      <c r="B167" s="13"/>
      <c r="C167" s="13"/>
      <c r="D167" s="13"/>
      <c r="E167" s="13"/>
      <c r="F167" s="13"/>
      <c r="G167" s="13"/>
      <c r="H167" s="13"/>
      <c r="I167" s="13"/>
      <c r="J167" s="14"/>
      <c r="K167" s="14"/>
      <c r="L167" s="14"/>
      <c r="M167" s="14"/>
      <c r="N167" s="14"/>
      <c r="O167" s="15" t="str">
        <f aca="false">IFERROR(N167/K167,"")</f>
        <v/>
      </c>
      <c r="P167" s="13"/>
    </row>
    <row r="168" customFormat="false" ht="15" hidden="false" customHeight="false" outlineLevel="0" collapsed="false">
      <c r="A168" s="0" t="str">
        <f aca="false">IF(D168="","",ROW()-11)</f>
        <v/>
      </c>
      <c r="B168" s="13"/>
      <c r="C168" s="13"/>
      <c r="D168" s="13"/>
      <c r="E168" s="13"/>
      <c r="F168" s="13"/>
      <c r="G168" s="13"/>
      <c r="H168" s="13"/>
      <c r="I168" s="13"/>
      <c r="J168" s="14"/>
      <c r="K168" s="14"/>
      <c r="L168" s="14"/>
      <c r="M168" s="14"/>
      <c r="N168" s="14"/>
      <c r="O168" s="15" t="str">
        <f aca="false">IFERROR(N168/K168,"")</f>
        <v/>
      </c>
      <c r="P168" s="13"/>
    </row>
    <row r="169" customFormat="false" ht="15" hidden="false" customHeight="false" outlineLevel="0" collapsed="false">
      <c r="A169" s="0" t="str">
        <f aca="false">IF(D169="","",ROW()-11)</f>
        <v/>
      </c>
      <c r="B169" s="13"/>
      <c r="C169" s="13"/>
      <c r="D169" s="13"/>
      <c r="E169" s="13"/>
      <c r="F169" s="13"/>
      <c r="G169" s="13"/>
      <c r="H169" s="13"/>
      <c r="I169" s="13"/>
      <c r="J169" s="14"/>
      <c r="K169" s="14"/>
      <c r="L169" s="14"/>
      <c r="M169" s="14"/>
      <c r="N169" s="14"/>
      <c r="O169" s="15" t="str">
        <f aca="false">IFERROR(N169/K169,"")</f>
        <v/>
      </c>
      <c r="P169" s="13"/>
    </row>
    <row r="170" customFormat="false" ht="15" hidden="false" customHeight="false" outlineLevel="0" collapsed="false">
      <c r="A170" s="0" t="str">
        <f aca="false">IF(D170="","",ROW()-11)</f>
        <v/>
      </c>
      <c r="B170" s="13"/>
      <c r="C170" s="13"/>
      <c r="D170" s="13"/>
      <c r="E170" s="13"/>
      <c r="F170" s="13"/>
      <c r="G170" s="13"/>
      <c r="H170" s="13"/>
      <c r="I170" s="13"/>
      <c r="J170" s="14"/>
      <c r="K170" s="14"/>
      <c r="L170" s="14"/>
      <c r="M170" s="14"/>
      <c r="N170" s="14"/>
      <c r="O170" s="15" t="str">
        <f aca="false">IFERROR(N170/K170,"")</f>
        <v/>
      </c>
      <c r="P170" s="13"/>
    </row>
    <row r="171" customFormat="false" ht="15" hidden="false" customHeight="false" outlineLevel="0" collapsed="false">
      <c r="A171" s="0" t="str">
        <f aca="false">IF(D171="","",ROW()-11)</f>
        <v/>
      </c>
      <c r="B171" s="13"/>
      <c r="C171" s="13"/>
      <c r="D171" s="13"/>
      <c r="E171" s="13"/>
      <c r="F171" s="13"/>
      <c r="G171" s="13"/>
      <c r="H171" s="13"/>
      <c r="I171" s="13"/>
      <c r="J171" s="14"/>
      <c r="K171" s="14"/>
      <c r="L171" s="14"/>
      <c r="M171" s="14"/>
      <c r="N171" s="14"/>
      <c r="O171" s="15" t="str">
        <f aca="false">IFERROR(N171/K171,"")</f>
        <v/>
      </c>
      <c r="P171" s="13"/>
    </row>
    <row r="172" customFormat="false" ht="15" hidden="false" customHeight="false" outlineLevel="0" collapsed="false">
      <c r="A172" s="0" t="str">
        <f aca="false">IF(D172="","",ROW()-11)</f>
        <v/>
      </c>
      <c r="B172" s="13"/>
      <c r="C172" s="13"/>
      <c r="D172" s="13"/>
      <c r="E172" s="13"/>
      <c r="F172" s="13"/>
      <c r="G172" s="13"/>
      <c r="H172" s="13"/>
      <c r="I172" s="13"/>
      <c r="J172" s="14"/>
      <c r="K172" s="14"/>
      <c r="L172" s="14"/>
      <c r="M172" s="14"/>
      <c r="N172" s="14"/>
      <c r="O172" s="15" t="str">
        <f aca="false">IFERROR(N172/K172,"")</f>
        <v/>
      </c>
      <c r="P172" s="13"/>
    </row>
    <row r="173" customFormat="false" ht="15" hidden="false" customHeight="false" outlineLevel="0" collapsed="false">
      <c r="A173" s="0" t="str">
        <f aca="false">IF(D173="","",ROW()-11)</f>
        <v/>
      </c>
      <c r="B173" s="13"/>
      <c r="C173" s="13"/>
      <c r="D173" s="13"/>
      <c r="E173" s="13"/>
      <c r="F173" s="13"/>
      <c r="G173" s="13"/>
      <c r="H173" s="13"/>
      <c r="I173" s="13"/>
      <c r="J173" s="14"/>
      <c r="K173" s="14"/>
      <c r="L173" s="14"/>
      <c r="M173" s="14"/>
      <c r="N173" s="14"/>
      <c r="O173" s="15" t="str">
        <f aca="false">IFERROR(N173/K173,"")</f>
        <v/>
      </c>
      <c r="P173" s="13"/>
    </row>
    <row r="174" customFormat="false" ht="15" hidden="false" customHeight="false" outlineLevel="0" collapsed="false">
      <c r="A174" s="0" t="str">
        <f aca="false">IF(D174="","",ROW()-11)</f>
        <v/>
      </c>
      <c r="B174" s="13"/>
      <c r="C174" s="13"/>
      <c r="D174" s="13"/>
      <c r="E174" s="13"/>
      <c r="F174" s="13"/>
      <c r="G174" s="13"/>
      <c r="H174" s="13"/>
      <c r="I174" s="13"/>
      <c r="J174" s="14"/>
      <c r="K174" s="14"/>
      <c r="L174" s="14"/>
      <c r="M174" s="14"/>
      <c r="N174" s="14"/>
      <c r="O174" s="15" t="str">
        <f aca="false">IFERROR(N174/K174,"")</f>
        <v/>
      </c>
      <c r="P174" s="13"/>
    </row>
    <row r="175" customFormat="false" ht="15" hidden="false" customHeight="false" outlineLevel="0" collapsed="false">
      <c r="A175" s="0" t="str">
        <f aca="false">IF(D175="","",ROW()-11)</f>
        <v/>
      </c>
      <c r="B175" s="13"/>
      <c r="C175" s="13"/>
      <c r="D175" s="13"/>
      <c r="E175" s="13"/>
      <c r="F175" s="13"/>
      <c r="G175" s="13"/>
      <c r="H175" s="13"/>
      <c r="I175" s="13"/>
      <c r="J175" s="14"/>
      <c r="K175" s="14"/>
      <c r="L175" s="14"/>
      <c r="M175" s="14"/>
      <c r="N175" s="14"/>
      <c r="O175" s="15" t="str">
        <f aca="false">IFERROR(N175/K175,"")</f>
        <v/>
      </c>
      <c r="P175" s="13"/>
    </row>
    <row r="176" customFormat="false" ht="15" hidden="false" customHeight="false" outlineLevel="0" collapsed="false">
      <c r="A176" s="0" t="str">
        <f aca="false">IF(D176="","",ROW()-11)</f>
        <v/>
      </c>
      <c r="B176" s="13"/>
      <c r="C176" s="13"/>
      <c r="D176" s="13"/>
      <c r="E176" s="13"/>
      <c r="F176" s="13"/>
      <c r="G176" s="13"/>
      <c r="H176" s="13"/>
      <c r="I176" s="13"/>
      <c r="J176" s="14"/>
      <c r="K176" s="14"/>
      <c r="L176" s="14"/>
      <c r="M176" s="14"/>
      <c r="N176" s="14"/>
      <c r="O176" s="15" t="str">
        <f aca="false">IFERROR(N176/K176,"")</f>
        <v/>
      </c>
      <c r="P176" s="13"/>
    </row>
    <row r="177" customFormat="false" ht="15" hidden="false" customHeight="false" outlineLevel="0" collapsed="false">
      <c r="A177" s="0" t="str">
        <f aca="false">IF(D177="","",ROW()-11)</f>
        <v/>
      </c>
      <c r="B177" s="13"/>
      <c r="C177" s="13"/>
      <c r="D177" s="13"/>
      <c r="E177" s="13"/>
      <c r="F177" s="13"/>
      <c r="G177" s="13"/>
      <c r="H177" s="13"/>
      <c r="I177" s="13"/>
      <c r="J177" s="14"/>
      <c r="K177" s="14"/>
      <c r="L177" s="14"/>
      <c r="M177" s="14"/>
      <c r="N177" s="14"/>
      <c r="O177" s="15" t="str">
        <f aca="false">IFERROR(N177/K177,"")</f>
        <v/>
      </c>
      <c r="P177" s="13"/>
    </row>
    <row r="178" customFormat="false" ht="15" hidden="false" customHeight="false" outlineLevel="0" collapsed="false">
      <c r="A178" s="0" t="str">
        <f aca="false">IF(D178="","",ROW()-11)</f>
        <v/>
      </c>
      <c r="B178" s="13"/>
      <c r="C178" s="13"/>
      <c r="D178" s="13"/>
      <c r="E178" s="13"/>
      <c r="F178" s="13"/>
      <c r="G178" s="13"/>
      <c r="H178" s="13"/>
      <c r="I178" s="13"/>
      <c r="J178" s="14"/>
      <c r="K178" s="14"/>
      <c r="L178" s="14"/>
      <c r="M178" s="14"/>
      <c r="N178" s="14"/>
      <c r="O178" s="15" t="str">
        <f aca="false">IFERROR(N178/K178,"")</f>
        <v/>
      </c>
      <c r="P178" s="13"/>
    </row>
    <row r="179" customFormat="false" ht="15" hidden="false" customHeight="false" outlineLevel="0" collapsed="false">
      <c r="A179" s="0" t="str">
        <f aca="false">IF(D179="","",ROW()-11)</f>
        <v/>
      </c>
      <c r="B179" s="13"/>
      <c r="C179" s="13"/>
      <c r="D179" s="13"/>
      <c r="E179" s="13"/>
      <c r="F179" s="13"/>
      <c r="G179" s="13"/>
      <c r="H179" s="13"/>
      <c r="I179" s="13"/>
      <c r="J179" s="14"/>
      <c r="K179" s="14"/>
      <c r="L179" s="14"/>
      <c r="M179" s="14"/>
      <c r="N179" s="14"/>
      <c r="O179" s="15" t="str">
        <f aca="false">IFERROR(N179/K179,"")</f>
        <v/>
      </c>
      <c r="P179" s="13"/>
    </row>
    <row r="180" customFormat="false" ht="15" hidden="false" customHeight="false" outlineLevel="0" collapsed="false">
      <c r="A180" s="0" t="str">
        <f aca="false">IF(D180="","",ROW()-11)</f>
        <v/>
      </c>
      <c r="B180" s="13"/>
      <c r="C180" s="13"/>
      <c r="D180" s="13"/>
      <c r="E180" s="13"/>
      <c r="F180" s="13"/>
      <c r="G180" s="13"/>
      <c r="H180" s="13"/>
      <c r="I180" s="13"/>
      <c r="J180" s="14"/>
      <c r="K180" s="14"/>
      <c r="L180" s="14"/>
      <c r="M180" s="14"/>
      <c r="N180" s="14"/>
      <c r="O180" s="15" t="str">
        <f aca="false">IFERROR(N180/K180,"")</f>
        <v/>
      </c>
      <c r="P180" s="13"/>
    </row>
    <row r="181" customFormat="false" ht="15" hidden="false" customHeight="false" outlineLevel="0" collapsed="false">
      <c r="A181" s="0" t="str">
        <f aca="false">IF(D181="","",ROW()-11)</f>
        <v/>
      </c>
      <c r="B181" s="13"/>
      <c r="C181" s="13"/>
      <c r="D181" s="13"/>
      <c r="E181" s="13"/>
      <c r="F181" s="13"/>
      <c r="G181" s="13"/>
      <c r="H181" s="13"/>
      <c r="I181" s="13"/>
      <c r="J181" s="14"/>
      <c r="K181" s="14"/>
      <c r="L181" s="14"/>
      <c r="M181" s="14"/>
      <c r="N181" s="14"/>
      <c r="O181" s="15" t="str">
        <f aca="false">IFERROR(N181/K181,"")</f>
        <v/>
      </c>
      <c r="P181" s="13"/>
    </row>
    <row r="182" customFormat="false" ht="15" hidden="false" customHeight="false" outlineLevel="0" collapsed="false">
      <c r="A182" s="0" t="str">
        <f aca="false">IF(D182="","",ROW()-11)</f>
        <v/>
      </c>
      <c r="B182" s="13"/>
      <c r="C182" s="13"/>
      <c r="D182" s="13"/>
      <c r="E182" s="13"/>
      <c r="F182" s="13"/>
      <c r="G182" s="13"/>
      <c r="H182" s="13"/>
      <c r="I182" s="13"/>
      <c r="J182" s="14"/>
      <c r="K182" s="14"/>
      <c r="L182" s="14"/>
      <c r="M182" s="14"/>
      <c r="N182" s="14"/>
      <c r="O182" s="15" t="str">
        <f aca="false">IFERROR(N182/K182,"")</f>
        <v/>
      </c>
      <c r="P182" s="13"/>
    </row>
    <row r="183" customFormat="false" ht="15" hidden="false" customHeight="false" outlineLevel="0" collapsed="false">
      <c r="A183" s="0" t="str">
        <f aca="false">IF(D183="","",ROW()-11)</f>
        <v/>
      </c>
      <c r="B183" s="13"/>
      <c r="C183" s="13"/>
      <c r="D183" s="13"/>
      <c r="E183" s="13"/>
      <c r="F183" s="13"/>
      <c r="G183" s="13"/>
      <c r="H183" s="13"/>
      <c r="I183" s="13"/>
      <c r="J183" s="14"/>
      <c r="K183" s="14"/>
      <c r="L183" s="14"/>
      <c r="M183" s="14"/>
      <c r="N183" s="14"/>
      <c r="O183" s="15" t="str">
        <f aca="false">IFERROR(N183/K183,"")</f>
        <v/>
      </c>
      <c r="P183" s="13"/>
    </row>
    <row r="184" customFormat="false" ht="15" hidden="false" customHeight="false" outlineLevel="0" collapsed="false">
      <c r="A184" s="0" t="str">
        <f aca="false">IF(D184="","",ROW()-11)</f>
        <v/>
      </c>
      <c r="B184" s="13"/>
      <c r="C184" s="13"/>
      <c r="D184" s="13"/>
      <c r="E184" s="13"/>
      <c r="F184" s="13"/>
      <c r="G184" s="13"/>
      <c r="H184" s="13"/>
      <c r="I184" s="13"/>
      <c r="J184" s="14"/>
      <c r="K184" s="14"/>
      <c r="L184" s="14"/>
      <c r="M184" s="14"/>
      <c r="N184" s="14"/>
      <c r="O184" s="15" t="str">
        <f aca="false">IFERROR(N184/K184,"")</f>
        <v/>
      </c>
      <c r="P184" s="13"/>
    </row>
    <row r="185" customFormat="false" ht="15" hidden="false" customHeight="false" outlineLevel="0" collapsed="false">
      <c r="A185" s="0" t="str">
        <f aca="false">IF(D185="","",ROW()-11)</f>
        <v/>
      </c>
      <c r="B185" s="13"/>
      <c r="C185" s="13"/>
      <c r="D185" s="13"/>
      <c r="E185" s="13"/>
      <c r="F185" s="13"/>
      <c r="G185" s="13"/>
      <c r="H185" s="13"/>
      <c r="I185" s="13"/>
      <c r="J185" s="14"/>
      <c r="K185" s="14"/>
      <c r="L185" s="14"/>
      <c r="M185" s="14"/>
      <c r="N185" s="14"/>
      <c r="O185" s="15" t="str">
        <f aca="false">IFERROR(N185/K185,"")</f>
        <v/>
      </c>
      <c r="P185" s="13"/>
    </row>
    <row r="186" customFormat="false" ht="15" hidden="false" customHeight="false" outlineLevel="0" collapsed="false">
      <c r="A186" s="0" t="str">
        <f aca="false">IF(D186="","",ROW()-11)</f>
        <v/>
      </c>
      <c r="B186" s="13"/>
      <c r="C186" s="13"/>
      <c r="D186" s="13"/>
      <c r="E186" s="13"/>
      <c r="F186" s="13"/>
      <c r="G186" s="13"/>
      <c r="H186" s="13"/>
      <c r="I186" s="13"/>
      <c r="J186" s="14"/>
      <c r="K186" s="14"/>
      <c r="L186" s="14"/>
      <c r="M186" s="14"/>
      <c r="N186" s="14"/>
      <c r="O186" s="15" t="str">
        <f aca="false">IFERROR(N186/K186,"")</f>
        <v/>
      </c>
      <c r="P186" s="13"/>
    </row>
    <row r="187" customFormat="false" ht="15" hidden="false" customHeight="false" outlineLevel="0" collapsed="false">
      <c r="A187" s="0" t="str">
        <f aca="false">IF(D187="","",ROW()-11)</f>
        <v/>
      </c>
      <c r="B187" s="13"/>
      <c r="C187" s="13"/>
      <c r="D187" s="13"/>
      <c r="E187" s="13"/>
      <c r="F187" s="13"/>
      <c r="G187" s="13"/>
      <c r="H187" s="13"/>
      <c r="I187" s="13"/>
      <c r="J187" s="14"/>
      <c r="K187" s="14"/>
      <c r="L187" s="14"/>
      <c r="M187" s="14"/>
      <c r="N187" s="14"/>
      <c r="O187" s="15" t="str">
        <f aca="false">IFERROR(N187/K187,"")</f>
        <v/>
      </c>
      <c r="P187" s="13"/>
    </row>
    <row r="188" customFormat="false" ht="15" hidden="false" customHeight="false" outlineLevel="0" collapsed="false">
      <c r="A188" s="0" t="str">
        <f aca="false">IF(D188="","",ROW()-11)</f>
        <v/>
      </c>
      <c r="B188" s="13"/>
      <c r="C188" s="13"/>
      <c r="D188" s="13"/>
      <c r="E188" s="13"/>
      <c r="F188" s="13"/>
      <c r="G188" s="13"/>
      <c r="H188" s="13"/>
      <c r="I188" s="13"/>
      <c r="J188" s="14"/>
      <c r="K188" s="14"/>
      <c r="L188" s="14"/>
      <c r="M188" s="14"/>
      <c r="N188" s="14"/>
      <c r="O188" s="15" t="str">
        <f aca="false">IFERROR(N188/K188,"")</f>
        <v/>
      </c>
      <c r="P188" s="13"/>
    </row>
    <row r="189" customFormat="false" ht="15" hidden="false" customHeight="false" outlineLevel="0" collapsed="false">
      <c r="A189" s="0" t="str">
        <f aca="false">IF(D189="","",ROW()-11)</f>
        <v/>
      </c>
      <c r="B189" s="13"/>
      <c r="C189" s="13"/>
      <c r="D189" s="13"/>
      <c r="E189" s="13"/>
      <c r="F189" s="13"/>
      <c r="G189" s="13"/>
      <c r="H189" s="13"/>
      <c r="I189" s="13"/>
      <c r="J189" s="14"/>
      <c r="K189" s="14"/>
      <c r="L189" s="14"/>
      <c r="M189" s="14"/>
      <c r="N189" s="14"/>
      <c r="O189" s="15" t="str">
        <f aca="false">IFERROR(N189/K189,"")</f>
        <v/>
      </c>
      <c r="P189" s="13"/>
    </row>
    <row r="190" customFormat="false" ht="15" hidden="false" customHeight="false" outlineLevel="0" collapsed="false">
      <c r="A190" s="0" t="str">
        <f aca="false">IF(D190="","",ROW()-11)</f>
        <v/>
      </c>
      <c r="B190" s="13"/>
      <c r="C190" s="13"/>
      <c r="D190" s="13"/>
      <c r="E190" s="13"/>
      <c r="F190" s="13"/>
      <c r="G190" s="13"/>
      <c r="H190" s="13"/>
      <c r="I190" s="13"/>
      <c r="J190" s="14"/>
      <c r="K190" s="14"/>
      <c r="L190" s="14"/>
      <c r="M190" s="14"/>
      <c r="N190" s="14"/>
      <c r="O190" s="15" t="str">
        <f aca="false">IFERROR(N190/K190,"")</f>
        <v/>
      </c>
      <c r="P190" s="13"/>
    </row>
    <row r="191" customFormat="false" ht="15" hidden="false" customHeight="false" outlineLevel="0" collapsed="false">
      <c r="A191" s="0" t="str">
        <f aca="false">IF(D191="","",ROW()-11)</f>
        <v/>
      </c>
      <c r="B191" s="13"/>
      <c r="C191" s="13"/>
      <c r="D191" s="13"/>
      <c r="E191" s="13"/>
      <c r="F191" s="13"/>
      <c r="G191" s="13"/>
      <c r="H191" s="13"/>
      <c r="I191" s="13"/>
      <c r="J191" s="14"/>
      <c r="K191" s="14"/>
      <c r="L191" s="14"/>
      <c r="M191" s="14"/>
      <c r="N191" s="14"/>
      <c r="O191" s="15" t="str">
        <f aca="false">IFERROR(N191/K191,"")</f>
        <v/>
      </c>
      <c r="P191" s="13"/>
    </row>
    <row r="192" customFormat="false" ht="15" hidden="false" customHeight="false" outlineLevel="0" collapsed="false">
      <c r="A192" s="0" t="str">
        <f aca="false">IF(D192="","",ROW()-11)</f>
        <v/>
      </c>
      <c r="B192" s="13"/>
      <c r="C192" s="13"/>
      <c r="D192" s="13"/>
      <c r="E192" s="13"/>
      <c r="F192" s="13"/>
      <c r="G192" s="13"/>
      <c r="H192" s="13"/>
      <c r="I192" s="13"/>
      <c r="J192" s="14"/>
      <c r="K192" s="14"/>
      <c r="L192" s="14"/>
      <c r="M192" s="14"/>
      <c r="N192" s="14"/>
      <c r="O192" s="15" t="str">
        <f aca="false">IFERROR(N192/K192,"")</f>
        <v/>
      </c>
      <c r="P192" s="13"/>
    </row>
    <row r="193" customFormat="false" ht="15" hidden="false" customHeight="false" outlineLevel="0" collapsed="false">
      <c r="A193" s="0" t="str">
        <f aca="false">IF(D193="","",ROW()-11)</f>
        <v/>
      </c>
      <c r="B193" s="13"/>
      <c r="C193" s="13"/>
      <c r="D193" s="13"/>
      <c r="E193" s="13"/>
      <c r="F193" s="13"/>
      <c r="G193" s="13"/>
      <c r="H193" s="13"/>
      <c r="I193" s="13"/>
      <c r="J193" s="14"/>
      <c r="K193" s="14"/>
      <c r="L193" s="14"/>
      <c r="M193" s="14"/>
      <c r="N193" s="14"/>
      <c r="O193" s="15" t="str">
        <f aca="false">IFERROR(N193/K193,"")</f>
        <v/>
      </c>
      <c r="P193" s="13"/>
    </row>
    <row r="194" customFormat="false" ht="15" hidden="false" customHeight="false" outlineLevel="0" collapsed="false">
      <c r="A194" s="0" t="str">
        <f aca="false">IF(D194="","",ROW()-11)</f>
        <v/>
      </c>
      <c r="B194" s="13"/>
      <c r="C194" s="13"/>
      <c r="D194" s="13"/>
      <c r="E194" s="13"/>
      <c r="F194" s="13"/>
      <c r="G194" s="13"/>
      <c r="H194" s="13"/>
      <c r="I194" s="13"/>
      <c r="J194" s="14"/>
      <c r="K194" s="14"/>
      <c r="L194" s="14"/>
      <c r="M194" s="14"/>
      <c r="N194" s="14"/>
      <c r="O194" s="15" t="str">
        <f aca="false">IFERROR(N194/K194,"")</f>
        <v/>
      </c>
      <c r="P194" s="13"/>
    </row>
    <row r="195" customFormat="false" ht="15" hidden="false" customHeight="false" outlineLevel="0" collapsed="false">
      <c r="A195" s="0" t="str">
        <f aca="false">IF(D195="","",ROW()-11)</f>
        <v/>
      </c>
      <c r="B195" s="13"/>
      <c r="C195" s="13"/>
      <c r="D195" s="13"/>
      <c r="E195" s="13"/>
      <c r="F195" s="13"/>
      <c r="G195" s="13"/>
      <c r="H195" s="13"/>
      <c r="I195" s="13"/>
      <c r="J195" s="14"/>
      <c r="K195" s="14"/>
      <c r="L195" s="14"/>
      <c r="M195" s="14"/>
      <c r="N195" s="14"/>
      <c r="O195" s="15" t="str">
        <f aca="false">IFERROR(N195/K195,"")</f>
        <v/>
      </c>
      <c r="P195" s="13"/>
    </row>
    <row r="196" customFormat="false" ht="15" hidden="false" customHeight="false" outlineLevel="0" collapsed="false">
      <c r="A196" s="0" t="str">
        <f aca="false">IF(D196="","",ROW()-11)</f>
        <v/>
      </c>
      <c r="B196" s="13"/>
      <c r="C196" s="13"/>
      <c r="D196" s="13"/>
      <c r="E196" s="13"/>
      <c r="F196" s="13"/>
      <c r="G196" s="13"/>
      <c r="H196" s="13"/>
      <c r="I196" s="13"/>
      <c r="J196" s="14"/>
      <c r="K196" s="14"/>
      <c r="L196" s="14"/>
      <c r="M196" s="14"/>
      <c r="N196" s="14"/>
      <c r="O196" s="15" t="str">
        <f aca="false">IFERROR(N196/K196,"")</f>
        <v/>
      </c>
      <c r="P196" s="13"/>
    </row>
    <row r="197" customFormat="false" ht="15" hidden="false" customHeight="false" outlineLevel="0" collapsed="false">
      <c r="A197" s="0" t="str">
        <f aca="false">IF(D197="","",ROW()-11)</f>
        <v/>
      </c>
      <c r="B197" s="13"/>
      <c r="C197" s="13"/>
      <c r="D197" s="13"/>
      <c r="E197" s="13"/>
      <c r="F197" s="13"/>
      <c r="G197" s="13"/>
      <c r="H197" s="13"/>
      <c r="I197" s="13"/>
      <c r="J197" s="14"/>
      <c r="K197" s="14"/>
      <c r="L197" s="14"/>
      <c r="M197" s="14"/>
      <c r="N197" s="14"/>
      <c r="O197" s="15" t="str">
        <f aca="false">IFERROR(N197/K197,"")</f>
        <v/>
      </c>
      <c r="P197" s="13"/>
    </row>
    <row r="198" customFormat="false" ht="15" hidden="false" customHeight="false" outlineLevel="0" collapsed="false">
      <c r="A198" s="0" t="str">
        <f aca="false">IF(D198="","",ROW()-11)</f>
        <v/>
      </c>
      <c r="B198" s="13"/>
      <c r="C198" s="13"/>
      <c r="D198" s="13"/>
      <c r="E198" s="13"/>
      <c r="F198" s="13"/>
      <c r="G198" s="13"/>
      <c r="H198" s="13"/>
      <c r="I198" s="13"/>
      <c r="J198" s="14"/>
      <c r="K198" s="14"/>
      <c r="L198" s="14"/>
      <c r="M198" s="14"/>
      <c r="N198" s="14"/>
      <c r="O198" s="15" t="str">
        <f aca="false">IFERROR(N198/K198,"")</f>
        <v/>
      </c>
      <c r="P198" s="13"/>
    </row>
    <row r="199" customFormat="false" ht="15" hidden="false" customHeight="false" outlineLevel="0" collapsed="false">
      <c r="A199" s="0" t="str">
        <f aca="false">IF(D199="","",ROW()-11)</f>
        <v/>
      </c>
      <c r="B199" s="13"/>
      <c r="C199" s="13"/>
      <c r="D199" s="13"/>
      <c r="E199" s="13"/>
      <c r="F199" s="13"/>
      <c r="G199" s="13"/>
      <c r="H199" s="13"/>
      <c r="I199" s="13"/>
      <c r="J199" s="14"/>
      <c r="K199" s="14"/>
      <c r="L199" s="14"/>
      <c r="M199" s="14"/>
      <c r="N199" s="14"/>
      <c r="O199" s="15" t="str">
        <f aca="false">IFERROR(N199/K199,"")</f>
        <v/>
      </c>
      <c r="P199" s="13"/>
    </row>
    <row r="200" customFormat="false" ht="15" hidden="false" customHeight="false" outlineLevel="0" collapsed="false">
      <c r="A200" s="0" t="str">
        <f aca="false">IF(D200="","",ROW()-11)</f>
        <v/>
      </c>
      <c r="B200" s="13"/>
      <c r="C200" s="13"/>
      <c r="D200" s="13"/>
      <c r="E200" s="13"/>
      <c r="F200" s="13"/>
      <c r="G200" s="13"/>
      <c r="H200" s="13"/>
      <c r="I200" s="13"/>
      <c r="J200" s="14"/>
      <c r="K200" s="14"/>
      <c r="L200" s="14"/>
      <c r="M200" s="14"/>
      <c r="N200" s="14"/>
      <c r="O200" s="15" t="str">
        <f aca="false">IFERROR(N200/K200,"")</f>
        <v/>
      </c>
      <c r="P200" s="13"/>
    </row>
    <row r="201" customFormat="false" ht="15" hidden="false" customHeight="false" outlineLevel="0" collapsed="false">
      <c r="A201" s="0" t="str">
        <f aca="false">IF(D201="","",ROW()-11)</f>
        <v/>
      </c>
      <c r="B201" s="13"/>
      <c r="C201" s="13"/>
      <c r="D201" s="13"/>
      <c r="E201" s="13"/>
      <c r="F201" s="13"/>
      <c r="G201" s="13"/>
      <c r="H201" s="13"/>
      <c r="I201" s="13"/>
      <c r="J201" s="14"/>
      <c r="K201" s="14"/>
      <c r="L201" s="14"/>
      <c r="M201" s="14"/>
      <c r="N201" s="14"/>
      <c r="O201" s="15" t="str">
        <f aca="false">IFERROR(N201/K201,"")</f>
        <v/>
      </c>
      <c r="P201" s="13"/>
    </row>
    <row r="202" customFormat="false" ht="15" hidden="false" customHeight="false" outlineLevel="0" collapsed="false">
      <c r="A202" s="0" t="str">
        <f aca="false">IF(D202="","",ROW()-11)</f>
        <v/>
      </c>
      <c r="B202" s="13"/>
      <c r="C202" s="13"/>
      <c r="D202" s="13"/>
      <c r="E202" s="13"/>
      <c r="F202" s="13"/>
      <c r="G202" s="13"/>
      <c r="H202" s="13"/>
      <c r="I202" s="13"/>
      <c r="J202" s="14"/>
      <c r="K202" s="14"/>
      <c r="L202" s="14"/>
      <c r="M202" s="14"/>
      <c r="N202" s="14"/>
      <c r="O202" s="15" t="str">
        <f aca="false">IFERROR(N202/K202,"")</f>
        <v/>
      </c>
      <c r="P202" s="13"/>
    </row>
    <row r="203" customFormat="false" ht="15" hidden="false" customHeight="false" outlineLevel="0" collapsed="false">
      <c r="A203" s="0" t="str">
        <f aca="false">IF(D203="","",ROW()-11)</f>
        <v/>
      </c>
      <c r="B203" s="13"/>
      <c r="C203" s="13"/>
      <c r="D203" s="13"/>
      <c r="E203" s="13"/>
      <c r="F203" s="13"/>
      <c r="G203" s="13"/>
      <c r="H203" s="13"/>
      <c r="I203" s="13"/>
      <c r="J203" s="14"/>
      <c r="K203" s="14"/>
      <c r="L203" s="14"/>
      <c r="M203" s="14"/>
      <c r="N203" s="14"/>
      <c r="O203" s="15" t="str">
        <f aca="false">IFERROR(N203/K203,"")</f>
        <v/>
      </c>
      <c r="P203" s="13"/>
    </row>
    <row r="204" customFormat="false" ht="15" hidden="false" customHeight="false" outlineLevel="0" collapsed="false">
      <c r="A204" s="0" t="str">
        <f aca="false">IF(D204="","",ROW()-11)</f>
        <v/>
      </c>
      <c r="B204" s="13"/>
      <c r="C204" s="13"/>
      <c r="D204" s="13"/>
      <c r="E204" s="13"/>
      <c r="F204" s="13"/>
      <c r="G204" s="13"/>
      <c r="H204" s="13"/>
      <c r="I204" s="13"/>
      <c r="J204" s="14"/>
      <c r="K204" s="14"/>
      <c r="L204" s="14"/>
      <c r="M204" s="14"/>
      <c r="N204" s="14"/>
      <c r="O204" s="15" t="str">
        <f aca="false">IFERROR(N204/K204,"")</f>
        <v/>
      </c>
      <c r="P204" s="13"/>
    </row>
    <row r="205" customFormat="false" ht="15" hidden="false" customHeight="false" outlineLevel="0" collapsed="false">
      <c r="A205" s="0" t="str">
        <f aca="false">IF(D205="","",ROW()-11)</f>
        <v/>
      </c>
      <c r="B205" s="13"/>
      <c r="C205" s="13"/>
      <c r="D205" s="13"/>
      <c r="E205" s="13"/>
      <c r="F205" s="13"/>
      <c r="G205" s="13"/>
      <c r="H205" s="13"/>
      <c r="I205" s="13"/>
      <c r="J205" s="14"/>
      <c r="K205" s="14"/>
      <c r="L205" s="14"/>
      <c r="M205" s="14"/>
      <c r="N205" s="14"/>
      <c r="O205" s="15" t="str">
        <f aca="false">IFERROR(N205/K205,"")</f>
        <v/>
      </c>
      <c r="P205" s="13"/>
    </row>
    <row r="206" customFormat="false" ht="15" hidden="false" customHeight="false" outlineLevel="0" collapsed="false">
      <c r="A206" s="0" t="str">
        <f aca="false">IF(D206="","",ROW()-11)</f>
        <v/>
      </c>
      <c r="B206" s="13"/>
      <c r="C206" s="13"/>
      <c r="D206" s="13"/>
      <c r="E206" s="13"/>
      <c r="F206" s="13"/>
      <c r="G206" s="13"/>
      <c r="H206" s="13"/>
      <c r="I206" s="13"/>
      <c r="J206" s="14"/>
      <c r="K206" s="14"/>
      <c r="L206" s="14"/>
      <c r="M206" s="14"/>
      <c r="N206" s="14"/>
      <c r="O206" s="15" t="str">
        <f aca="false">IFERROR(N206/K206,"")</f>
        <v/>
      </c>
      <c r="P206" s="13"/>
    </row>
    <row r="207" customFormat="false" ht="15" hidden="false" customHeight="false" outlineLevel="0" collapsed="false">
      <c r="A207" s="0" t="str">
        <f aca="false">IF(D207="","",ROW()-11)</f>
        <v/>
      </c>
      <c r="B207" s="13"/>
      <c r="C207" s="13"/>
      <c r="D207" s="13"/>
      <c r="E207" s="13"/>
      <c r="F207" s="13"/>
      <c r="G207" s="13"/>
      <c r="H207" s="13"/>
      <c r="I207" s="13"/>
      <c r="J207" s="14"/>
      <c r="K207" s="14"/>
      <c r="L207" s="14"/>
      <c r="M207" s="14"/>
      <c r="N207" s="14"/>
      <c r="O207" s="15" t="str">
        <f aca="false">IFERROR(N207/K207,"")</f>
        <v/>
      </c>
      <c r="P207" s="13"/>
    </row>
    <row r="208" customFormat="false" ht="15" hidden="false" customHeight="false" outlineLevel="0" collapsed="false">
      <c r="A208" s="0" t="str">
        <f aca="false">IF(D208="","",ROW()-11)</f>
        <v/>
      </c>
      <c r="B208" s="13"/>
      <c r="C208" s="13"/>
      <c r="D208" s="13"/>
      <c r="E208" s="13"/>
      <c r="F208" s="13"/>
      <c r="G208" s="13"/>
      <c r="H208" s="13"/>
      <c r="I208" s="13"/>
      <c r="J208" s="14"/>
      <c r="K208" s="14"/>
      <c r="L208" s="14"/>
      <c r="M208" s="14"/>
      <c r="N208" s="14"/>
      <c r="O208" s="15" t="str">
        <f aca="false">IFERROR(N208/K208,"")</f>
        <v/>
      </c>
      <c r="P208" s="13"/>
    </row>
    <row r="209" customFormat="false" ht="15" hidden="false" customHeight="false" outlineLevel="0" collapsed="false">
      <c r="A209" s="0" t="str">
        <f aca="false">IF(D209="","",ROW()-11)</f>
        <v/>
      </c>
      <c r="B209" s="13"/>
      <c r="C209" s="13"/>
      <c r="D209" s="13"/>
      <c r="E209" s="13"/>
      <c r="F209" s="13"/>
      <c r="G209" s="13"/>
      <c r="H209" s="13"/>
      <c r="I209" s="13"/>
      <c r="J209" s="14"/>
      <c r="K209" s="14"/>
      <c r="L209" s="14"/>
      <c r="M209" s="14"/>
      <c r="N209" s="14"/>
      <c r="O209" s="15" t="str">
        <f aca="false">IFERROR(N209/K209,"")</f>
        <v/>
      </c>
      <c r="P209" s="13"/>
    </row>
    <row r="210" customFormat="false" ht="15" hidden="false" customHeight="false" outlineLevel="0" collapsed="false">
      <c r="A210" s="0" t="str">
        <f aca="false">IF(D210="","",ROW()-11)</f>
        <v/>
      </c>
      <c r="B210" s="13"/>
      <c r="C210" s="13"/>
      <c r="D210" s="13"/>
      <c r="E210" s="13"/>
      <c r="F210" s="13"/>
      <c r="G210" s="13"/>
      <c r="H210" s="13"/>
      <c r="I210" s="13"/>
      <c r="J210" s="14"/>
      <c r="K210" s="14"/>
      <c r="L210" s="14"/>
      <c r="M210" s="14"/>
      <c r="N210" s="14"/>
      <c r="O210" s="15" t="str">
        <f aca="false">IFERROR(N210/K210,"")</f>
        <v/>
      </c>
      <c r="P210" s="13"/>
    </row>
    <row r="211" customFormat="false" ht="15" hidden="false" customHeight="false" outlineLevel="0" collapsed="false">
      <c r="A211" s="0" t="str">
        <f aca="false">IF(D211="","",ROW()-11)</f>
        <v/>
      </c>
      <c r="B211" s="13"/>
      <c r="C211" s="13"/>
      <c r="D211" s="13"/>
      <c r="E211" s="13"/>
      <c r="F211" s="13"/>
      <c r="G211" s="13"/>
      <c r="H211" s="13"/>
      <c r="I211" s="13"/>
      <c r="J211" s="14"/>
      <c r="K211" s="14"/>
      <c r="L211" s="14"/>
      <c r="M211" s="14"/>
      <c r="N211" s="14"/>
      <c r="O211" s="15" t="str">
        <f aca="false">IFERROR(N211/K211,"")</f>
        <v/>
      </c>
      <c r="P211" s="13"/>
    </row>
    <row r="212" customFormat="false" ht="15" hidden="false" customHeight="false" outlineLevel="0" collapsed="false">
      <c r="A212" s="0" t="str">
        <f aca="false">IF(D212="","",ROW()-11)</f>
        <v/>
      </c>
      <c r="B212" s="13"/>
      <c r="C212" s="13"/>
      <c r="D212" s="13"/>
      <c r="E212" s="13"/>
      <c r="F212" s="13"/>
      <c r="G212" s="13"/>
      <c r="H212" s="13"/>
      <c r="I212" s="13"/>
      <c r="J212" s="14"/>
      <c r="K212" s="14"/>
      <c r="L212" s="14"/>
      <c r="M212" s="14"/>
      <c r="N212" s="14"/>
      <c r="O212" s="15" t="str">
        <f aca="false">IFERROR(N212/K212,"")</f>
        <v/>
      </c>
      <c r="P212" s="13"/>
    </row>
    <row r="213" customFormat="false" ht="15" hidden="false" customHeight="false" outlineLevel="0" collapsed="false">
      <c r="A213" s="0" t="str">
        <f aca="false">IF(D213="","",ROW()-11)</f>
        <v/>
      </c>
      <c r="B213" s="13"/>
      <c r="C213" s="13"/>
      <c r="D213" s="13"/>
      <c r="E213" s="13"/>
      <c r="F213" s="13"/>
      <c r="G213" s="13"/>
      <c r="H213" s="13"/>
      <c r="I213" s="13"/>
      <c r="J213" s="14"/>
      <c r="K213" s="14"/>
      <c r="L213" s="14"/>
      <c r="M213" s="14"/>
      <c r="N213" s="14"/>
      <c r="O213" s="15" t="str">
        <f aca="false">IFERROR(N213/K213,"")</f>
        <v/>
      </c>
      <c r="P213" s="13"/>
    </row>
    <row r="214" customFormat="false" ht="15" hidden="false" customHeight="false" outlineLevel="0" collapsed="false">
      <c r="A214" s="0" t="str">
        <f aca="false">IF(D214="","",ROW()-11)</f>
        <v/>
      </c>
      <c r="B214" s="13"/>
      <c r="C214" s="13"/>
      <c r="D214" s="13"/>
      <c r="E214" s="13"/>
      <c r="F214" s="13"/>
      <c r="G214" s="13"/>
      <c r="H214" s="13"/>
      <c r="I214" s="13"/>
      <c r="J214" s="14"/>
      <c r="K214" s="14"/>
      <c r="L214" s="14"/>
      <c r="M214" s="14"/>
      <c r="N214" s="14"/>
      <c r="O214" s="15" t="str">
        <f aca="false">IFERROR(N214/K214,"")</f>
        <v/>
      </c>
      <c r="P214" s="13"/>
    </row>
    <row r="215" customFormat="false" ht="15" hidden="false" customHeight="false" outlineLevel="0" collapsed="false">
      <c r="A215" s="0" t="str">
        <f aca="false">IF(D215="","",ROW()-11)</f>
        <v/>
      </c>
      <c r="B215" s="13"/>
      <c r="C215" s="13"/>
      <c r="D215" s="13"/>
      <c r="E215" s="13"/>
      <c r="F215" s="13"/>
      <c r="G215" s="13"/>
      <c r="H215" s="13"/>
      <c r="I215" s="13"/>
      <c r="J215" s="14"/>
      <c r="K215" s="14"/>
      <c r="L215" s="14"/>
      <c r="M215" s="14"/>
      <c r="N215" s="14"/>
      <c r="O215" s="15" t="str">
        <f aca="false">IFERROR(N215/K215,"")</f>
        <v/>
      </c>
      <c r="P215" s="13"/>
    </row>
    <row r="216" customFormat="false" ht="15" hidden="false" customHeight="false" outlineLevel="0" collapsed="false">
      <c r="A216" s="0" t="str">
        <f aca="false">IF(D216="","",ROW()-11)</f>
        <v/>
      </c>
      <c r="B216" s="13"/>
      <c r="C216" s="13"/>
      <c r="D216" s="13"/>
      <c r="E216" s="13"/>
      <c r="F216" s="13"/>
      <c r="G216" s="13"/>
      <c r="H216" s="13"/>
      <c r="I216" s="13"/>
      <c r="J216" s="14"/>
      <c r="K216" s="14"/>
      <c r="L216" s="14"/>
      <c r="M216" s="14"/>
      <c r="N216" s="14"/>
      <c r="O216" s="15" t="str">
        <f aca="false">IFERROR(N216/K216,"")</f>
        <v/>
      </c>
      <c r="P216" s="13"/>
    </row>
    <row r="217" customFormat="false" ht="15" hidden="false" customHeight="false" outlineLevel="0" collapsed="false">
      <c r="A217" s="0" t="str">
        <f aca="false">IF(D217="","",ROW()-11)</f>
        <v/>
      </c>
      <c r="B217" s="13"/>
      <c r="C217" s="13"/>
      <c r="D217" s="13"/>
      <c r="E217" s="13"/>
      <c r="F217" s="13"/>
      <c r="G217" s="13"/>
      <c r="H217" s="13"/>
      <c r="I217" s="13"/>
      <c r="J217" s="14"/>
      <c r="K217" s="14"/>
      <c r="L217" s="14"/>
      <c r="M217" s="14"/>
      <c r="N217" s="14"/>
      <c r="O217" s="15" t="str">
        <f aca="false">IFERROR(N217/K217,"")</f>
        <v/>
      </c>
      <c r="P217" s="13"/>
    </row>
    <row r="218" customFormat="false" ht="15" hidden="false" customHeight="false" outlineLevel="0" collapsed="false">
      <c r="A218" s="0" t="str">
        <f aca="false">IF(D218="","",ROW()-11)</f>
        <v/>
      </c>
      <c r="B218" s="13"/>
      <c r="C218" s="13"/>
      <c r="D218" s="13"/>
      <c r="E218" s="13"/>
      <c r="F218" s="13"/>
      <c r="G218" s="13"/>
      <c r="H218" s="13"/>
      <c r="I218" s="13"/>
      <c r="J218" s="14"/>
      <c r="K218" s="14"/>
      <c r="L218" s="14"/>
      <c r="M218" s="14"/>
      <c r="N218" s="14"/>
      <c r="O218" s="15" t="str">
        <f aca="false">IFERROR(N218/K218,"")</f>
        <v/>
      </c>
      <c r="P218" s="13"/>
    </row>
    <row r="219" customFormat="false" ht="15" hidden="false" customHeight="false" outlineLevel="0" collapsed="false">
      <c r="A219" s="0" t="str">
        <f aca="false">IF(D219="","",ROW()-11)</f>
        <v/>
      </c>
      <c r="B219" s="13"/>
      <c r="C219" s="13"/>
      <c r="D219" s="13"/>
      <c r="E219" s="13"/>
      <c r="F219" s="13"/>
      <c r="G219" s="13"/>
      <c r="H219" s="13"/>
      <c r="I219" s="13"/>
      <c r="J219" s="14"/>
      <c r="K219" s="14"/>
      <c r="L219" s="14"/>
      <c r="M219" s="14"/>
      <c r="N219" s="14"/>
      <c r="O219" s="15" t="str">
        <f aca="false">IFERROR(N219/K219,"")</f>
        <v/>
      </c>
      <c r="P219" s="13"/>
    </row>
    <row r="220" customFormat="false" ht="15" hidden="false" customHeight="false" outlineLevel="0" collapsed="false">
      <c r="A220" s="0" t="str">
        <f aca="false">IF(D220="","",ROW()-11)</f>
        <v/>
      </c>
      <c r="B220" s="13"/>
      <c r="C220" s="13"/>
      <c r="D220" s="13"/>
      <c r="E220" s="13"/>
      <c r="F220" s="13"/>
      <c r="G220" s="13"/>
      <c r="H220" s="13"/>
      <c r="I220" s="13"/>
      <c r="J220" s="14"/>
      <c r="K220" s="14"/>
      <c r="L220" s="14"/>
      <c r="M220" s="14"/>
      <c r="N220" s="14"/>
      <c r="O220" s="15" t="str">
        <f aca="false">IFERROR(N220/K220,"")</f>
        <v/>
      </c>
      <c r="P220" s="13"/>
    </row>
    <row r="221" customFormat="false" ht="15" hidden="false" customHeight="false" outlineLevel="0" collapsed="false">
      <c r="A221" s="0" t="str">
        <f aca="false">IF(D221="","",ROW()-11)</f>
        <v/>
      </c>
      <c r="B221" s="13"/>
      <c r="C221" s="13"/>
      <c r="D221" s="13"/>
      <c r="E221" s="13"/>
      <c r="F221" s="13"/>
      <c r="G221" s="13"/>
      <c r="H221" s="13"/>
      <c r="I221" s="13"/>
      <c r="J221" s="14"/>
      <c r="K221" s="14"/>
      <c r="L221" s="14"/>
      <c r="M221" s="14"/>
      <c r="N221" s="14"/>
      <c r="O221" s="15" t="str">
        <f aca="false">IFERROR(N221/K221,"")</f>
        <v/>
      </c>
      <c r="P221" s="13"/>
    </row>
    <row r="222" customFormat="false" ht="15" hidden="false" customHeight="false" outlineLevel="0" collapsed="false">
      <c r="A222" s="0" t="str">
        <f aca="false">IF(D222="","",ROW()-11)</f>
        <v/>
      </c>
      <c r="B222" s="13"/>
      <c r="C222" s="13"/>
      <c r="D222" s="13"/>
      <c r="E222" s="13"/>
      <c r="F222" s="13"/>
      <c r="G222" s="13"/>
      <c r="H222" s="13"/>
      <c r="I222" s="13"/>
      <c r="J222" s="14"/>
      <c r="K222" s="14"/>
      <c r="L222" s="14"/>
      <c r="M222" s="14"/>
      <c r="N222" s="14"/>
      <c r="O222" s="15" t="str">
        <f aca="false">IFERROR(N222/K222,"")</f>
        <v/>
      </c>
      <c r="P222" s="13"/>
    </row>
    <row r="223" customFormat="false" ht="15" hidden="false" customHeight="false" outlineLevel="0" collapsed="false">
      <c r="A223" s="0" t="str">
        <f aca="false">IF(D223="","",ROW()-11)</f>
        <v/>
      </c>
      <c r="B223" s="13"/>
      <c r="C223" s="13"/>
      <c r="D223" s="13"/>
      <c r="E223" s="13"/>
      <c r="F223" s="13"/>
      <c r="G223" s="13"/>
      <c r="H223" s="13"/>
      <c r="I223" s="13"/>
      <c r="J223" s="14"/>
      <c r="K223" s="14"/>
      <c r="L223" s="14"/>
      <c r="M223" s="14"/>
      <c r="N223" s="14"/>
      <c r="O223" s="15" t="str">
        <f aca="false">IFERROR(N223/K223,"")</f>
        <v/>
      </c>
      <c r="P223" s="13"/>
    </row>
    <row r="224" customFormat="false" ht="15" hidden="false" customHeight="false" outlineLevel="0" collapsed="false">
      <c r="A224" s="0" t="str">
        <f aca="false">IF(D224="","",ROW()-11)</f>
        <v/>
      </c>
      <c r="B224" s="13"/>
      <c r="C224" s="13"/>
      <c r="D224" s="13"/>
      <c r="E224" s="13"/>
      <c r="F224" s="13"/>
      <c r="G224" s="13"/>
      <c r="H224" s="13"/>
      <c r="I224" s="13"/>
      <c r="J224" s="14"/>
      <c r="K224" s="14"/>
      <c r="L224" s="14"/>
      <c r="M224" s="14"/>
      <c r="N224" s="14"/>
      <c r="O224" s="15" t="str">
        <f aca="false">IFERROR(N224/K224,"")</f>
        <v/>
      </c>
      <c r="P224" s="13"/>
    </row>
    <row r="225" customFormat="false" ht="15" hidden="false" customHeight="false" outlineLevel="0" collapsed="false">
      <c r="A225" s="0" t="str">
        <f aca="false">IF(D225="","",ROW()-11)</f>
        <v/>
      </c>
      <c r="B225" s="13"/>
      <c r="C225" s="13"/>
      <c r="D225" s="13"/>
      <c r="E225" s="13"/>
      <c r="F225" s="13"/>
      <c r="G225" s="13"/>
      <c r="H225" s="13"/>
      <c r="I225" s="13"/>
      <c r="J225" s="14"/>
      <c r="K225" s="14"/>
      <c r="L225" s="14"/>
      <c r="M225" s="14"/>
      <c r="N225" s="14"/>
      <c r="O225" s="15" t="str">
        <f aca="false">IFERROR(N225/K225,"")</f>
        <v/>
      </c>
      <c r="P225" s="13"/>
    </row>
    <row r="226" customFormat="false" ht="15" hidden="false" customHeight="false" outlineLevel="0" collapsed="false">
      <c r="A226" s="0" t="str">
        <f aca="false">IF(D226="","",ROW()-11)</f>
        <v/>
      </c>
      <c r="B226" s="13"/>
      <c r="C226" s="13"/>
      <c r="D226" s="13"/>
      <c r="E226" s="13"/>
      <c r="F226" s="13"/>
      <c r="G226" s="13"/>
      <c r="H226" s="13"/>
      <c r="I226" s="13"/>
      <c r="J226" s="14"/>
      <c r="K226" s="14"/>
      <c r="L226" s="14"/>
      <c r="M226" s="14"/>
      <c r="N226" s="14"/>
      <c r="O226" s="15" t="str">
        <f aca="false">IFERROR(N226/K226,"")</f>
        <v/>
      </c>
      <c r="P226" s="13"/>
    </row>
    <row r="227" customFormat="false" ht="15" hidden="false" customHeight="false" outlineLevel="0" collapsed="false">
      <c r="A227" s="0" t="str">
        <f aca="false">IF(D227="","",ROW()-11)</f>
        <v/>
      </c>
      <c r="B227" s="13"/>
      <c r="C227" s="13"/>
      <c r="D227" s="13"/>
      <c r="E227" s="13"/>
      <c r="F227" s="13"/>
      <c r="G227" s="13"/>
      <c r="H227" s="13"/>
      <c r="I227" s="13"/>
      <c r="J227" s="14"/>
      <c r="K227" s="14"/>
      <c r="L227" s="14"/>
      <c r="M227" s="14"/>
      <c r="N227" s="14"/>
      <c r="O227" s="15" t="str">
        <f aca="false">IFERROR(N227/K227,"")</f>
        <v/>
      </c>
      <c r="P227" s="13"/>
    </row>
    <row r="228" customFormat="false" ht="15" hidden="false" customHeight="false" outlineLevel="0" collapsed="false">
      <c r="A228" s="0" t="str">
        <f aca="false">IF(D228="","",ROW()-11)</f>
        <v/>
      </c>
      <c r="B228" s="13"/>
      <c r="C228" s="13"/>
      <c r="D228" s="13"/>
      <c r="E228" s="13"/>
      <c r="F228" s="13"/>
      <c r="G228" s="13"/>
      <c r="H228" s="13"/>
      <c r="I228" s="13"/>
      <c r="J228" s="14"/>
      <c r="K228" s="14"/>
      <c r="L228" s="14"/>
      <c r="M228" s="14"/>
      <c r="N228" s="14"/>
      <c r="O228" s="15" t="str">
        <f aca="false">IFERROR(N228/K228,"")</f>
        <v/>
      </c>
      <c r="P228" s="13"/>
    </row>
    <row r="229" customFormat="false" ht="15" hidden="false" customHeight="false" outlineLevel="0" collapsed="false">
      <c r="A229" s="0" t="str">
        <f aca="false">IF(D229="","",ROW()-11)</f>
        <v/>
      </c>
      <c r="B229" s="13"/>
      <c r="C229" s="13"/>
      <c r="D229" s="13"/>
      <c r="E229" s="13"/>
      <c r="F229" s="13"/>
      <c r="G229" s="13"/>
      <c r="H229" s="13"/>
      <c r="I229" s="13"/>
      <c r="J229" s="14"/>
      <c r="K229" s="14"/>
      <c r="L229" s="14"/>
      <c r="M229" s="14"/>
      <c r="N229" s="14"/>
      <c r="O229" s="15" t="str">
        <f aca="false">IFERROR(N229/K229,"")</f>
        <v/>
      </c>
      <c r="P229" s="13"/>
    </row>
    <row r="230" customFormat="false" ht="15" hidden="false" customHeight="false" outlineLevel="0" collapsed="false">
      <c r="A230" s="0" t="str">
        <f aca="false">IF(D230="","",ROW()-11)</f>
        <v/>
      </c>
      <c r="B230" s="13"/>
      <c r="C230" s="13"/>
      <c r="D230" s="13"/>
      <c r="E230" s="13"/>
      <c r="F230" s="13"/>
      <c r="G230" s="13"/>
      <c r="H230" s="13"/>
      <c r="I230" s="13"/>
      <c r="J230" s="14"/>
      <c r="K230" s="14"/>
      <c r="L230" s="14"/>
      <c r="M230" s="14"/>
      <c r="N230" s="14"/>
      <c r="O230" s="15" t="str">
        <f aca="false">IFERROR(N230/K230,"")</f>
        <v/>
      </c>
      <c r="P230" s="13"/>
    </row>
    <row r="231" customFormat="false" ht="15" hidden="false" customHeight="false" outlineLevel="0" collapsed="false">
      <c r="A231" s="0" t="str">
        <f aca="false">IF(D231="","",ROW()-11)</f>
        <v/>
      </c>
      <c r="B231" s="13"/>
      <c r="C231" s="13"/>
      <c r="D231" s="13"/>
      <c r="E231" s="13"/>
      <c r="F231" s="13"/>
      <c r="G231" s="13"/>
      <c r="H231" s="13"/>
      <c r="I231" s="13"/>
      <c r="J231" s="14"/>
      <c r="K231" s="14"/>
      <c r="L231" s="14"/>
      <c r="M231" s="14"/>
      <c r="N231" s="14"/>
      <c r="O231" s="15" t="str">
        <f aca="false">IFERROR(N231/K231,"")</f>
        <v/>
      </c>
      <c r="P231" s="13"/>
    </row>
    <row r="232" customFormat="false" ht="15" hidden="false" customHeight="false" outlineLevel="0" collapsed="false">
      <c r="A232" s="0" t="str">
        <f aca="false">IF(D232="","",ROW()-11)</f>
        <v/>
      </c>
      <c r="B232" s="13"/>
      <c r="C232" s="13"/>
      <c r="D232" s="13"/>
      <c r="E232" s="13"/>
      <c r="F232" s="13"/>
      <c r="G232" s="13"/>
      <c r="H232" s="13"/>
      <c r="I232" s="13"/>
      <c r="J232" s="14"/>
      <c r="K232" s="14"/>
      <c r="L232" s="14"/>
      <c r="M232" s="14"/>
      <c r="N232" s="14"/>
      <c r="O232" s="15" t="str">
        <f aca="false">IFERROR(N232/K232,"")</f>
        <v/>
      </c>
      <c r="P232" s="13"/>
    </row>
    <row r="233" customFormat="false" ht="15" hidden="false" customHeight="false" outlineLevel="0" collapsed="false">
      <c r="A233" s="0" t="str">
        <f aca="false">IF(D233="","",ROW()-11)</f>
        <v/>
      </c>
      <c r="B233" s="13"/>
      <c r="C233" s="13"/>
      <c r="D233" s="13"/>
      <c r="E233" s="13"/>
      <c r="F233" s="13"/>
      <c r="G233" s="13"/>
      <c r="H233" s="13"/>
      <c r="I233" s="13"/>
      <c r="J233" s="14"/>
      <c r="K233" s="14"/>
      <c r="L233" s="14"/>
      <c r="M233" s="14"/>
      <c r="N233" s="14"/>
      <c r="O233" s="15" t="str">
        <f aca="false">IFERROR(N233/K233,"")</f>
        <v/>
      </c>
      <c r="P233" s="13"/>
    </row>
    <row r="234" customFormat="false" ht="15" hidden="false" customHeight="false" outlineLevel="0" collapsed="false">
      <c r="A234" s="0" t="str">
        <f aca="false">IF(D234="","",ROW()-11)</f>
        <v/>
      </c>
      <c r="B234" s="13"/>
      <c r="C234" s="13"/>
      <c r="D234" s="13"/>
      <c r="E234" s="13"/>
      <c r="F234" s="13"/>
      <c r="G234" s="13"/>
      <c r="H234" s="13"/>
      <c r="I234" s="13"/>
      <c r="J234" s="14"/>
      <c r="K234" s="14"/>
      <c r="L234" s="14"/>
      <c r="M234" s="14"/>
      <c r="N234" s="14"/>
      <c r="O234" s="15" t="str">
        <f aca="false">IFERROR(N234/K234,"")</f>
        <v/>
      </c>
      <c r="P234" s="13"/>
    </row>
    <row r="235" customFormat="false" ht="15" hidden="false" customHeight="false" outlineLevel="0" collapsed="false">
      <c r="A235" s="0" t="str">
        <f aca="false">IF(D235="","",ROW()-11)</f>
        <v/>
      </c>
      <c r="B235" s="13"/>
      <c r="C235" s="13"/>
      <c r="D235" s="13"/>
      <c r="E235" s="13"/>
      <c r="F235" s="13"/>
      <c r="G235" s="13"/>
      <c r="H235" s="13"/>
      <c r="I235" s="13"/>
      <c r="J235" s="14"/>
      <c r="K235" s="14"/>
      <c r="L235" s="14"/>
      <c r="M235" s="14"/>
      <c r="N235" s="14"/>
      <c r="O235" s="15" t="str">
        <f aca="false">IFERROR(N235/K235,"")</f>
        <v/>
      </c>
      <c r="P235" s="13"/>
    </row>
    <row r="236" customFormat="false" ht="15" hidden="false" customHeight="false" outlineLevel="0" collapsed="false">
      <c r="A236" s="0" t="str">
        <f aca="false">IF(D236="","",ROW()-11)</f>
        <v/>
      </c>
      <c r="B236" s="13"/>
      <c r="C236" s="13"/>
      <c r="D236" s="13"/>
      <c r="E236" s="13"/>
      <c r="F236" s="13"/>
      <c r="G236" s="13"/>
      <c r="H236" s="13"/>
      <c r="I236" s="13"/>
      <c r="J236" s="14"/>
      <c r="K236" s="14"/>
      <c r="L236" s="14"/>
      <c r="M236" s="14"/>
      <c r="N236" s="14"/>
      <c r="O236" s="15" t="str">
        <f aca="false">IFERROR(N236/K236,"")</f>
        <v/>
      </c>
      <c r="P236" s="13"/>
    </row>
    <row r="237" customFormat="false" ht="15" hidden="false" customHeight="false" outlineLevel="0" collapsed="false">
      <c r="A237" s="0" t="str">
        <f aca="false">IF(D237="","",ROW()-11)</f>
        <v/>
      </c>
      <c r="B237" s="13"/>
      <c r="C237" s="13"/>
      <c r="D237" s="13"/>
      <c r="E237" s="13"/>
      <c r="F237" s="13"/>
      <c r="G237" s="13"/>
      <c r="H237" s="13"/>
      <c r="I237" s="13"/>
      <c r="J237" s="14"/>
      <c r="K237" s="14"/>
      <c r="L237" s="14"/>
      <c r="M237" s="14"/>
      <c r="N237" s="14"/>
      <c r="O237" s="15" t="str">
        <f aca="false">IFERROR(N237/K237,"")</f>
        <v/>
      </c>
      <c r="P237" s="13"/>
    </row>
    <row r="238" customFormat="false" ht="15" hidden="false" customHeight="false" outlineLevel="0" collapsed="false">
      <c r="A238" s="0" t="str">
        <f aca="false">IF(D238="","",ROW()-11)</f>
        <v/>
      </c>
      <c r="B238" s="13"/>
      <c r="C238" s="13"/>
      <c r="D238" s="13"/>
      <c r="E238" s="13"/>
      <c r="F238" s="13"/>
      <c r="G238" s="13"/>
      <c r="H238" s="13"/>
      <c r="I238" s="13"/>
      <c r="J238" s="14"/>
      <c r="K238" s="14"/>
      <c r="L238" s="14"/>
      <c r="M238" s="14"/>
      <c r="N238" s="14"/>
      <c r="O238" s="15" t="str">
        <f aca="false">IFERROR(N238/K238,"")</f>
        <v/>
      </c>
      <c r="P238" s="13"/>
    </row>
    <row r="239" customFormat="false" ht="15" hidden="false" customHeight="false" outlineLevel="0" collapsed="false">
      <c r="A239" s="0" t="str">
        <f aca="false">IF(D239="","",ROW()-11)</f>
        <v/>
      </c>
      <c r="B239" s="13"/>
      <c r="C239" s="13"/>
      <c r="D239" s="13"/>
      <c r="E239" s="13"/>
      <c r="F239" s="13"/>
      <c r="G239" s="13"/>
      <c r="H239" s="13"/>
      <c r="I239" s="13"/>
      <c r="J239" s="14"/>
      <c r="K239" s="14"/>
      <c r="L239" s="14"/>
      <c r="M239" s="14"/>
      <c r="N239" s="14"/>
      <c r="O239" s="15" t="str">
        <f aca="false">IFERROR(N239/K239,"")</f>
        <v/>
      </c>
      <c r="P239" s="13"/>
    </row>
    <row r="240" customFormat="false" ht="15" hidden="false" customHeight="false" outlineLevel="0" collapsed="false">
      <c r="A240" s="0" t="str">
        <f aca="false">IF(D240="","",ROW()-11)</f>
        <v/>
      </c>
      <c r="B240" s="13"/>
      <c r="C240" s="13"/>
      <c r="D240" s="13"/>
      <c r="E240" s="13"/>
      <c r="F240" s="13"/>
      <c r="G240" s="13"/>
      <c r="H240" s="13"/>
      <c r="I240" s="13"/>
      <c r="J240" s="14"/>
      <c r="K240" s="14"/>
      <c r="L240" s="14"/>
      <c r="M240" s="14"/>
      <c r="N240" s="14"/>
      <c r="O240" s="15" t="str">
        <f aca="false">IFERROR(N240/K240,"")</f>
        <v/>
      </c>
      <c r="P240" s="13"/>
    </row>
    <row r="241" customFormat="false" ht="15" hidden="false" customHeight="false" outlineLevel="0" collapsed="false">
      <c r="A241" s="0" t="str">
        <f aca="false">IF(D241="","",ROW()-11)</f>
        <v/>
      </c>
      <c r="B241" s="13"/>
      <c r="C241" s="13"/>
      <c r="D241" s="13"/>
      <c r="E241" s="13"/>
      <c r="F241" s="13"/>
      <c r="G241" s="13"/>
      <c r="H241" s="13"/>
      <c r="I241" s="13"/>
      <c r="J241" s="14"/>
      <c r="K241" s="14"/>
      <c r="L241" s="14"/>
      <c r="M241" s="14"/>
      <c r="N241" s="14"/>
      <c r="O241" s="15" t="str">
        <f aca="false">IFERROR(N241/K241,"")</f>
        <v/>
      </c>
      <c r="P241" s="13"/>
    </row>
    <row r="242" customFormat="false" ht="15" hidden="false" customHeight="false" outlineLevel="0" collapsed="false">
      <c r="A242" s="0" t="str">
        <f aca="false">IF(D242="","",ROW()-11)</f>
        <v/>
      </c>
      <c r="B242" s="13"/>
      <c r="C242" s="13"/>
      <c r="D242" s="13"/>
      <c r="E242" s="13"/>
      <c r="F242" s="13"/>
      <c r="G242" s="13"/>
      <c r="H242" s="13"/>
      <c r="I242" s="13"/>
      <c r="J242" s="14"/>
      <c r="K242" s="14"/>
      <c r="L242" s="14"/>
      <c r="M242" s="14"/>
      <c r="N242" s="14"/>
      <c r="O242" s="15" t="str">
        <f aca="false">IFERROR(N242/K242,"")</f>
        <v/>
      </c>
      <c r="P242" s="13"/>
    </row>
    <row r="243" customFormat="false" ht="15" hidden="false" customHeight="false" outlineLevel="0" collapsed="false">
      <c r="A243" s="0" t="str">
        <f aca="false">IF(D243="","",ROW()-11)</f>
        <v/>
      </c>
      <c r="B243" s="13"/>
      <c r="C243" s="13"/>
      <c r="D243" s="13"/>
      <c r="E243" s="13"/>
      <c r="F243" s="13"/>
      <c r="G243" s="13"/>
      <c r="H243" s="13"/>
      <c r="I243" s="13"/>
      <c r="J243" s="14"/>
      <c r="K243" s="14"/>
      <c r="L243" s="14"/>
      <c r="M243" s="14"/>
      <c r="N243" s="14"/>
      <c r="O243" s="15" t="str">
        <f aca="false">IFERROR(N243/K243,"")</f>
        <v/>
      </c>
      <c r="P243" s="13"/>
    </row>
    <row r="244" customFormat="false" ht="15" hidden="false" customHeight="false" outlineLevel="0" collapsed="false">
      <c r="A244" s="0" t="str">
        <f aca="false">IF(D244="","",ROW()-11)</f>
        <v/>
      </c>
      <c r="B244" s="13"/>
      <c r="C244" s="13"/>
      <c r="D244" s="13"/>
      <c r="E244" s="13"/>
      <c r="F244" s="13"/>
      <c r="G244" s="13"/>
      <c r="H244" s="13"/>
      <c r="I244" s="13"/>
      <c r="J244" s="14"/>
      <c r="K244" s="14"/>
      <c r="L244" s="14"/>
      <c r="M244" s="14"/>
      <c r="N244" s="14"/>
      <c r="O244" s="15" t="str">
        <f aca="false">IFERROR(N244/K244,"")</f>
        <v/>
      </c>
      <c r="P244" s="13"/>
    </row>
    <row r="245" customFormat="false" ht="15" hidden="false" customHeight="false" outlineLevel="0" collapsed="false">
      <c r="A245" s="0" t="str">
        <f aca="false">IF(D245="","",ROW()-11)</f>
        <v/>
      </c>
      <c r="B245" s="13"/>
      <c r="C245" s="13"/>
      <c r="D245" s="13"/>
      <c r="E245" s="13"/>
      <c r="F245" s="13"/>
      <c r="G245" s="13"/>
      <c r="H245" s="13"/>
      <c r="I245" s="13"/>
      <c r="J245" s="14"/>
      <c r="K245" s="14"/>
      <c r="L245" s="14"/>
      <c r="M245" s="14"/>
      <c r="N245" s="14"/>
      <c r="O245" s="15" t="str">
        <f aca="false">IFERROR(N245/K245,"")</f>
        <v/>
      </c>
      <c r="P245" s="13"/>
    </row>
    <row r="246" customFormat="false" ht="15" hidden="false" customHeight="false" outlineLevel="0" collapsed="false">
      <c r="A246" s="0" t="str">
        <f aca="false">IF(D246="","",ROW()-11)</f>
        <v/>
      </c>
      <c r="B246" s="13"/>
      <c r="C246" s="13"/>
      <c r="D246" s="13"/>
      <c r="E246" s="13"/>
      <c r="F246" s="13"/>
      <c r="G246" s="13"/>
      <c r="H246" s="13"/>
      <c r="I246" s="13"/>
      <c r="J246" s="14"/>
      <c r="K246" s="14"/>
      <c r="L246" s="14"/>
      <c r="M246" s="14"/>
      <c r="N246" s="14"/>
      <c r="O246" s="15" t="str">
        <f aca="false">IFERROR(N246/K246,"")</f>
        <v/>
      </c>
      <c r="P246" s="13"/>
    </row>
    <row r="247" customFormat="false" ht="15" hidden="false" customHeight="false" outlineLevel="0" collapsed="false">
      <c r="A247" s="0" t="str">
        <f aca="false">IF(D247="","",ROW()-11)</f>
        <v/>
      </c>
      <c r="B247" s="13"/>
      <c r="C247" s="13"/>
      <c r="D247" s="13"/>
      <c r="E247" s="13"/>
      <c r="F247" s="13"/>
      <c r="G247" s="13"/>
      <c r="H247" s="13"/>
      <c r="I247" s="13"/>
      <c r="J247" s="14"/>
      <c r="K247" s="14"/>
      <c r="L247" s="14"/>
      <c r="M247" s="14"/>
      <c r="N247" s="14"/>
      <c r="O247" s="15" t="str">
        <f aca="false">IFERROR(N247/K247,"")</f>
        <v/>
      </c>
      <c r="P247" s="13"/>
    </row>
    <row r="248" customFormat="false" ht="15" hidden="false" customHeight="false" outlineLevel="0" collapsed="false">
      <c r="A248" s="0" t="str">
        <f aca="false">IF(D248="","",ROW()-11)</f>
        <v/>
      </c>
      <c r="B248" s="13"/>
      <c r="C248" s="13"/>
      <c r="D248" s="13"/>
      <c r="E248" s="13"/>
      <c r="F248" s="13"/>
      <c r="G248" s="13"/>
      <c r="H248" s="13"/>
      <c r="I248" s="13"/>
      <c r="J248" s="14"/>
      <c r="K248" s="14"/>
      <c r="L248" s="14"/>
      <c r="M248" s="14"/>
      <c r="N248" s="14"/>
      <c r="O248" s="15" t="str">
        <f aca="false">IFERROR(N248/K248,"")</f>
        <v/>
      </c>
      <c r="P248" s="13"/>
    </row>
    <row r="249" customFormat="false" ht="15" hidden="false" customHeight="false" outlineLevel="0" collapsed="false">
      <c r="A249" s="0" t="str">
        <f aca="false">IF(D249="","",ROW()-11)</f>
        <v/>
      </c>
      <c r="B249" s="13"/>
      <c r="C249" s="13"/>
      <c r="D249" s="13"/>
      <c r="E249" s="13"/>
      <c r="F249" s="13"/>
      <c r="G249" s="13"/>
      <c r="H249" s="13"/>
      <c r="I249" s="13"/>
      <c r="J249" s="14"/>
      <c r="K249" s="14"/>
      <c r="L249" s="14"/>
      <c r="M249" s="14"/>
      <c r="N249" s="14"/>
      <c r="O249" s="15" t="str">
        <f aca="false">IFERROR(N249/K249,"")</f>
        <v/>
      </c>
      <c r="P249" s="13"/>
    </row>
    <row r="250" customFormat="false" ht="15" hidden="false" customHeight="false" outlineLevel="0" collapsed="false">
      <c r="A250" s="0" t="str">
        <f aca="false">IF(D250="","",ROW()-11)</f>
        <v/>
      </c>
      <c r="B250" s="13"/>
      <c r="C250" s="13"/>
      <c r="D250" s="13"/>
      <c r="E250" s="13"/>
      <c r="F250" s="13"/>
      <c r="G250" s="13"/>
      <c r="H250" s="13"/>
      <c r="I250" s="13"/>
      <c r="J250" s="14"/>
      <c r="K250" s="14"/>
      <c r="L250" s="14"/>
      <c r="M250" s="14"/>
      <c r="N250" s="14"/>
      <c r="O250" s="15" t="str">
        <f aca="false">IFERROR(N250/K250,"")</f>
        <v/>
      </c>
      <c r="P250" s="13"/>
    </row>
    <row r="251" customFormat="false" ht="15" hidden="false" customHeight="false" outlineLevel="0" collapsed="false">
      <c r="A251" s="0" t="str">
        <f aca="false">IF(D251="","",ROW()-11)</f>
        <v/>
      </c>
      <c r="B251" s="13"/>
      <c r="C251" s="13"/>
      <c r="D251" s="13"/>
      <c r="E251" s="13"/>
      <c r="F251" s="13"/>
      <c r="G251" s="13"/>
      <c r="H251" s="13"/>
      <c r="I251" s="13"/>
      <c r="J251" s="14"/>
      <c r="K251" s="14"/>
      <c r="L251" s="14"/>
      <c r="M251" s="14"/>
      <c r="N251" s="14"/>
      <c r="O251" s="15" t="str">
        <f aca="false">IFERROR(N251/K251,"")</f>
        <v/>
      </c>
      <c r="P251" s="13"/>
    </row>
    <row r="252" customFormat="false" ht="15" hidden="false" customHeight="false" outlineLevel="0" collapsed="false">
      <c r="A252" s="0" t="str">
        <f aca="false">IF(D252="","",ROW()-11)</f>
        <v/>
      </c>
      <c r="B252" s="13"/>
      <c r="C252" s="13"/>
      <c r="D252" s="13"/>
      <c r="E252" s="13"/>
      <c r="F252" s="13"/>
      <c r="G252" s="13"/>
      <c r="H252" s="13"/>
      <c r="I252" s="13"/>
      <c r="J252" s="14"/>
      <c r="K252" s="14"/>
      <c r="L252" s="14"/>
      <c r="M252" s="14"/>
      <c r="N252" s="14"/>
      <c r="O252" s="15" t="str">
        <f aca="false">IFERROR(N252/K252,"")</f>
        <v/>
      </c>
      <c r="P252" s="13"/>
    </row>
    <row r="253" customFormat="false" ht="15" hidden="false" customHeight="false" outlineLevel="0" collapsed="false">
      <c r="A253" s="0" t="str">
        <f aca="false">IF(D253="","",ROW()-11)</f>
        <v/>
      </c>
      <c r="B253" s="13"/>
      <c r="C253" s="13"/>
      <c r="D253" s="13"/>
      <c r="E253" s="13"/>
      <c r="F253" s="13"/>
      <c r="G253" s="13"/>
      <c r="H253" s="13"/>
      <c r="I253" s="13"/>
      <c r="J253" s="14"/>
      <c r="K253" s="14"/>
      <c r="L253" s="14"/>
      <c r="M253" s="14"/>
      <c r="N253" s="14"/>
      <c r="O253" s="15" t="str">
        <f aca="false">IFERROR(N253/K253,"")</f>
        <v/>
      </c>
      <c r="P253" s="13"/>
    </row>
    <row r="254" customFormat="false" ht="15" hidden="false" customHeight="false" outlineLevel="0" collapsed="false">
      <c r="A254" s="0" t="str">
        <f aca="false">IF(D254="","",ROW()-11)</f>
        <v/>
      </c>
      <c r="B254" s="13"/>
      <c r="C254" s="13"/>
      <c r="D254" s="13"/>
      <c r="E254" s="13"/>
      <c r="F254" s="13"/>
      <c r="G254" s="13"/>
      <c r="H254" s="13"/>
      <c r="I254" s="13"/>
      <c r="J254" s="14"/>
      <c r="K254" s="14"/>
      <c r="L254" s="14"/>
      <c r="M254" s="14"/>
      <c r="N254" s="14"/>
      <c r="O254" s="15" t="str">
        <f aca="false">IFERROR(N254/K254,"")</f>
        <v/>
      </c>
      <c r="P254" s="13"/>
    </row>
    <row r="255" customFormat="false" ht="15" hidden="false" customHeight="false" outlineLevel="0" collapsed="false">
      <c r="A255" s="0" t="str">
        <f aca="false">IF(D255="","",ROW()-11)</f>
        <v/>
      </c>
      <c r="B255" s="13"/>
      <c r="C255" s="13"/>
      <c r="D255" s="13"/>
      <c r="E255" s="13"/>
      <c r="F255" s="13"/>
      <c r="G255" s="13"/>
      <c r="H255" s="13"/>
      <c r="I255" s="13"/>
      <c r="J255" s="14"/>
      <c r="K255" s="14"/>
      <c r="L255" s="14"/>
      <c r="M255" s="14"/>
      <c r="N255" s="14"/>
      <c r="O255" s="15" t="str">
        <f aca="false">IFERROR(N255/K255,"")</f>
        <v/>
      </c>
      <c r="P255" s="13"/>
    </row>
    <row r="256" customFormat="false" ht="15" hidden="false" customHeight="false" outlineLevel="0" collapsed="false">
      <c r="A256" s="0" t="str">
        <f aca="false">IF(D256="","",ROW()-11)</f>
        <v/>
      </c>
      <c r="B256" s="13"/>
      <c r="C256" s="13"/>
      <c r="D256" s="13"/>
      <c r="E256" s="13"/>
      <c r="F256" s="13"/>
      <c r="G256" s="13"/>
      <c r="H256" s="13"/>
      <c r="I256" s="13"/>
      <c r="J256" s="14"/>
      <c r="K256" s="14"/>
      <c r="L256" s="14"/>
      <c r="M256" s="14"/>
      <c r="N256" s="14"/>
      <c r="O256" s="15" t="str">
        <f aca="false">IFERROR(N256/K256,"")</f>
        <v/>
      </c>
      <c r="P256" s="13"/>
    </row>
    <row r="257" customFormat="false" ht="15" hidden="false" customHeight="false" outlineLevel="0" collapsed="false">
      <c r="A257" s="0" t="str">
        <f aca="false">IF(D257="","",ROW()-11)</f>
        <v/>
      </c>
      <c r="B257" s="13"/>
      <c r="C257" s="13"/>
      <c r="D257" s="13"/>
      <c r="E257" s="13"/>
      <c r="F257" s="13"/>
      <c r="G257" s="13"/>
      <c r="H257" s="13"/>
      <c r="I257" s="13"/>
      <c r="J257" s="14"/>
      <c r="K257" s="14"/>
      <c r="L257" s="14"/>
      <c r="M257" s="14"/>
      <c r="N257" s="14"/>
      <c r="O257" s="15" t="str">
        <f aca="false">IFERROR(N257/K257,"")</f>
        <v/>
      </c>
      <c r="P257" s="13"/>
    </row>
    <row r="258" customFormat="false" ht="15" hidden="false" customHeight="false" outlineLevel="0" collapsed="false">
      <c r="A258" s="0" t="str">
        <f aca="false">IF(D258="","",ROW()-11)</f>
        <v/>
      </c>
      <c r="B258" s="13"/>
      <c r="C258" s="13"/>
      <c r="D258" s="13"/>
      <c r="E258" s="13"/>
      <c r="F258" s="13"/>
      <c r="G258" s="13"/>
      <c r="H258" s="13"/>
      <c r="I258" s="13"/>
      <c r="J258" s="14"/>
      <c r="K258" s="14"/>
      <c r="L258" s="14"/>
      <c r="M258" s="14"/>
      <c r="N258" s="14"/>
      <c r="O258" s="15" t="str">
        <f aca="false">IFERROR(N258/K258,"")</f>
        <v/>
      </c>
      <c r="P258" s="13"/>
    </row>
    <row r="259" customFormat="false" ht="15" hidden="false" customHeight="false" outlineLevel="0" collapsed="false">
      <c r="A259" s="0" t="str">
        <f aca="false">IF(D259="","",ROW()-11)</f>
        <v/>
      </c>
      <c r="B259" s="13"/>
      <c r="C259" s="13"/>
      <c r="D259" s="13"/>
      <c r="E259" s="13"/>
      <c r="F259" s="13"/>
      <c r="G259" s="13"/>
      <c r="H259" s="13"/>
      <c r="I259" s="13"/>
      <c r="J259" s="14"/>
      <c r="K259" s="14"/>
      <c r="L259" s="14"/>
      <c r="M259" s="14"/>
      <c r="N259" s="14"/>
      <c r="O259" s="15" t="str">
        <f aca="false">IFERROR(N259/K259,"")</f>
        <v/>
      </c>
      <c r="P259" s="13"/>
    </row>
    <row r="260" customFormat="false" ht="15" hidden="false" customHeight="false" outlineLevel="0" collapsed="false">
      <c r="A260" s="0" t="str">
        <f aca="false">IF(D260="","",ROW()-11)</f>
        <v/>
      </c>
      <c r="B260" s="13"/>
      <c r="C260" s="13"/>
      <c r="D260" s="13"/>
      <c r="E260" s="13"/>
      <c r="F260" s="13"/>
      <c r="G260" s="13"/>
      <c r="H260" s="13"/>
      <c r="I260" s="13"/>
      <c r="J260" s="14"/>
      <c r="K260" s="14"/>
      <c r="L260" s="14"/>
      <c r="M260" s="14"/>
      <c r="N260" s="14"/>
      <c r="O260" s="15" t="str">
        <f aca="false">IFERROR(N260/K260,"")</f>
        <v/>
      </c>
      <c r="P260" s="13"/>
    </row>
    <row r="261" customFormat="false" ht="15" hidden="false" customHeight="false" outlineLevel="0" collapsed="false">
      <c r="A261" s="0" t="str">
        <f aca="false">IF(D261="","",ROW()-11)</f>
        <v/>
      </c>
      <c r="B261" s="13"/>
      <c r="C261" s="13"/>
      <c r="D261" s="13"/>
      <c r="E261" s="13"/>
      <c r="F261" s="13"/>
      <c r="G261" s="13"/>
      <c r="H261" s="13"/>
      <c r="I261" s="13"/>
      <c r="J261" s="14"/>
      <c r="K261" s="14"/>
      <c r="L261" s="14"/>
      <c r="M261" s="14"/>
      <c r="N261" s="14"/>
      <c r="O261" s="15" t="str">
        <f aca="false">IFERROR(N261/K261,"")</f>
        <v/>
      </c>
      <c r="P261" s="13"/>
    </row>
    <row r="262" customFormat="false" ht="15" hidden="false" customHeight="false" outlineLevel="0" collapsed="false">
      <c r="A262" s="0" t="str">
        <f aca="false">IF(D262="","",ROW()-11)</f>
        <v/>
      </c>
      <c r="B262" s="13"/>
      <c r="C262" s="13"/>
      <c r="D262" s="13"/>
      <c r="E262" s="13"/>
      <c r="F262" s="13"/>
      <c r="G262" s="13"/>
      <c r="H262" s="13"/>
      <c r="I262" s="13"/>
      <c r="J262" s="14"/>
      <c r="K262" s="14"/>
      <c r="L262" s="14"/>
      <c r="M262" s="14"/>
      <c r="N262" s="14"/>
      <c r="O262" s="15" t="str">
        <f aca="false">IFERROR(N262/K262,"")</f>
        <v/>
      </c>
      <c r="P262" s="13"/>
    </row>
    <row r="263" customFormat="false" ht="15" hidden="false" customHeight="false" outlineLevel="0" collapsed="false">
      <c r="A263" s="0" t="str">
        <f aca="false">IF(D263="","",ROW()-11)</f>
        <v/>
      </c>
      <c r="B263" s="13"/>
      <c r="C263" s="13"/>
      <c r="D263" s="13"/>
      <c r="E263" s="13"/>
      <c r="F263" s="13"/>
      <c r="G263" s="13"/>
      <c r="H263" s="13"/>
      <c r="I263" s="13"/>
      <c r="J263" s="14"/>
      <c r="K263" s="14"/>
      <c r="L263" s="14"/>
      <c r="M263" s="14"/>
      <c r="N263" s="14"/>
      <c r="O263" s="15" t="str">
        <f aca="false">IFERROR(N263/K263,"")</f>
        <v/>
      </c>
      <c r="P263" s="13"/>
    </row>
    <row r="264" customFormat="false" ht="15" hidden="false" customHeight="false" outlineLevel="0" collapsed="false">
      <c r="A264" s="0" t="str">
        <f aca="false">IF(D264="","",ROW()-11)</f>
        <v/>
      </c>
      <c r="B264" s="13"/>
      <c r="C264" s="13"/>
      <c r="D264" s="13"/>
      <c r="E264" s="13"/>
      <c r="F264" s="13"/>
      <c r="G264" s="13"/>
      <c r="H264" s="13"/>
      <c r="I264" s="13"/>
      <c r="J264" s="14"/>
      <c r="K264" s="14"/>
      <c r="L264" s="14"/>
      <c r="M264" s="14"/>
      <c r="N264" s="14"/>
      <c r="O264" s="15" t="str">
        <f aca="false">IFERROR(N264/K264,"")</f>
        <v/>
      </c>
      <c r="P264" s="13"/>
    </row>
    <row r="265" customFormat="false" ht="15" hidden="false" customHeight="false" outlineLevel="0" collapsed="false">
      <c r="A265" s="0" t="str">
        <f aca="false">IF(D265="","",ROW()-11)</f>
        <v/>
      </c>
      <c r="B265" s="13"/>
      <c r="C265" s="13"/>
      <c r="D265" s="13"/>
      <c r="E265" s="13"/>
      <c r="F265" s="13"/>
      <c r="G265" s="13"/>
      <c r="H265" s="13"/>
      <c r="I265" s="13"/>
      <c r="J265" s="14"/>
      <c r="K265" s="14"/>
      <c r="L265" s="14"/>
      <c r="M265" s="14"/>
      <c r="N265" s="14"/>
      <c r="O265" s="15" t="str">
        <f aca="false">IFERROR(N265/K265,"")</f>
        <v/>
      </c>
      <c r="P265" s="13"/>
    </row>
    <row r="266" customFormat="false" ht="15" hidden="false" customHeight="false" outlineLevel="0" collapsed="false">
      <c r="A266" s="0" t="str">
        <f aca="false">IF(D266="","",ROW()-11)</f>
        <v/>
      </c>
      <c r="B266" s="13"/>
      <c r="C266" s="13"/>
      <c r="D266" s="13"/>
      <c r="E266" s="13"/>
      <c r="F266" s="13"/>
      <c r="G266" s="13"/>
      <c r="H266" s="13"/>
      <c r="I266" s="13"/>
      <c r="J266" s="14"/>
      <c r="K266" s="14"/>
      <c r="L266" s="14"/>
      <c r="M266" s="14"/>
      <c r="N266" s="14"/>
      <c r="O266" s="15" t="str">
        <f aca="false">IFERROR(N266/K266,"")</f>
        <v/>
      </c>
      <c r="P266" s="13"/>
    </row>
    <row r="267" customFormat="false" ht="15" hidden="false" customHeight="false" outlineLevel="0" collapsed="false">
      <c r="A267" s="0" t="str">
        <f aca="false">IF(D267="","",ROW()-11)</f>
        <v/>
      </c>
      <c r="B267" s="13"/>
      <c r="C267" s="13"/>
      <c r="D267" s="13"/>
      <c r="E267" s="13"/>
      <c r="F267" s="13"/>
      <c r="G267" s="13"/>
      <c r="H267" s="13"/>
      <c r="I267" s="13"/>
      <c r="J267" s="14"/>
      <c r="K267" s="14"/>
      <c r="L267" s="14"/>
      <c r="M267" s="14"/>
      <c r="N267" s="14"/>
      <c r="O267" s="15" t="str">
        <f aca="false">IFERROR(N267/K267,"")</f>
        <v/>
      </c>
      <c r="P267" s="13"/>
    </row>
    <row r="268" customFormat="false" ht="15" hidden="false" customHeight="false" outlineLevel="0" collapsed="false">
      <c r="A268" s="0" t="str">
        <f aca="false">IF(D268="","",ROW()-11)</f>
        <v/>
      </c>
      <c r="B268" s="13"/>
      <c r="C268" s="13"/>
      <c r="D268" s="13"/>
      <c r="E268" s="13"/>
      <c r="F268" s="13"/>
      <c r="G268" s="13"/>
      <c r="H268" s="13"/>
      <c r="I268" s="13"/>
      <c r="J268" s="14"/>
      <c r="K268" s="14"/>
      <c r="L268" s="14"/>
      <c r="M268" s="14"/>
      <c r="N268" s="14"/>
      <c r="O268" s="15" t="str">
        <f aca="false">IFERROR(N268/K268,"")</f>
        <v/>
      </c>
      <c r="P268" s="13"/>
    </row>
    <row r="269" customFormat="false" ht="15" hidden="false" customHeight="false" outlineLevel="0" collapsed="false">
      <c r="A269" s="0" t="str">
        <f aca="false">IF(D269="","",ROW()-11)</f>
        <v/>
      </c>
      <c r="B269" s="13"/>
      <c r="C269" s="13"/>
      <c r="D269" s="13"/>
      <c r="E269" s="13"/>
      <c r="F269" s="13"/>
      <c r="G269" s="13"/>
      <c r="H269" s="13"/>
      <c r="I269" s="13"/>
      <c r="J269" s="14"/>
      <c r="K269" s="14"/>
      <c r="L269" s="14"/>
      <c r="M269" s="14"/>
      <c r="N269" s="14"/>
      <c r="O269" s="15" t="str">
        <f aca="false">IFERROR(N269/K269,"")</f>
        <v/>
      </c>
      <c r="P269" s="13"/>
    </row>
    <row r="270" customFormat="false" ht="15" hidden="false" customHeight="false" outlineLevel="0" collapsed="false">
      <c r="A270" s="0" t="str">
        <f aca="false">IF(D270="","",ROW()-11)</f>
        <v/>
      </c>
      <c r="B270" s="13"/>
      <c r="C270" s="13"/>
      <c r="D270" s="13"/>
      <c r="E270" s="13"/>
      <c r="F270" s="13"/>
      <c r="G270" s="13"/>
      <c r="H270" s="13"/>
      <c r="I270" s="13"/>
      <c r="J270" s="14"/>
      <c r="K270" s="14"/>
      <c r="L270" s="14"/>
      <c r="M270" s="14"/>
      <c r="N270" s="14"/>
      <c r="O270" s="15" t="str">
        <f aca="false">IFERROR(N270/K270,"")</f>
        <v/>
      </c>
      <c r="P270" s="13"/>
    </row>
    <row r="271" customFormat="false" ht="15" hidden="false" customHeight="false" outlineLevel="0" collapsed="false">
      <c r="A271" s="0" t="str">
        <f aca="false">IF(D271="","",ROW()-11)</f>
        <v/>
      </c>
      <c r="B271" s="13"/>
      <c r="C271" s="13"/>
      <c r="D271" s="13"/>
      <c r="E271" s="13"/>
      <c r="F271" s="13"/>
      <c r="G271" s="13"/>
      <c r="H271" s="13"/>
      <c r="I271" s="13"/>
      <c r="J271" s="14"/>
      <c r="K271" s="14"/>
      <c r="L271" s="14"/>
      <c r="M271" s="14"/>
      <c r="N271" s="14"/>
      <c r="O271" s="15" t="str">
        <f aca="false">IFERROR(N271/K271,"")</f>
        <v/>
      </c>
      <c r="P271" s="13"/>
    </row>
    <row r="272" customFormat="false" ht="15" hidden="false" customHeight="false" outlineLevel="0" collapsed="false">
      <c r="A272" s="0" t="str">
        <f aca="false">IF(D272="","",ROW()-11)</f>
        <v/>
      </c>
      <c r="B272" s="13"/>
      <c r="C272" s="13"/>
      <c r="D272" s="13"/>
      <c r="E272" s="13"/>
      <c r="F272" s="13"/>
      <c r="G272" s="13"/>
      <c r="H272" s="13"/>
      <c r="I272" s="13"/>
      <c r="J272" s="14"/>
      <c r="K272" s="14"/>
      <c r="L272" s="14"/>
      <c r="M272" s="14"/>
      <c r="N272" s="14"/>
      <c r="O272" s="15" t="str">
        <f aca="false">IFERROR(N272/K272,"")</f>
        <v/>
      </c>
      <c r="P272" s="13"/>
    </row>
    <row r="273" customFormat="false" ht="15" hidden="false" customHeight="false" outlineLevel="0" collapsed="false">
      <c r="A273" s="0" t="str">
        <f aca="false">IF(D273="","",ROW()-11)</f>
        <v/>
      </c>
      <c r="B273" s="13"/>
      <c r="C273" s="13"/>
      <c r="D273" s="13"/>
      <c r="E273" s="13"/>
      <c r="F273" s="13"/>
      <c r="G273" s="13"/>
      <c r="H273" s="13"/>
      <c r="I273" s="13"/>
      <c r="J273" s="14"/>
      <c r="K273" s="14"/>
      <c r="L273" s="14"/>
      <c r="M273" s="14"/>
      <c r="N273" s="14"/>
      <c r="O273" s="15" t="str">
        <f aca="false">IFERROR(N273/K273,"")</f>
        <v/>
      </c>
      <c r="P273" s="13"/>
    </row>
    <row r="274" customFormat="false" ht="15" hidden="false" customHeight="false" outlineLevel="0" collapsed="false">
      <c r="A274" s="0" t="str">
        <f aca="false">IF(D274="","",ROW()-11)</f>
        <v/>
      </c>
      <c r="B274" s="13"/>
      <c r="C274" s="13"/>
      <c r="D274" s="13"/>
      <c r="E274" s="13"/>
      <c r="F274" s="13"/>
      <c r="G274" s="13"/>
      <c r="H274" s="13"/>
      <c r="I274" s="13"/>
      <c r="J274" s="14"/>
      <c r="K274" s="14"/>
      <c r="L274" s="14"/>
      <c r="M274" s="14"/>
      <c r="N274" s="14"/>
      <c r="O274" s="15" t="str">
        <f aca="false">IFERROR(N274/K274,"")</f>
        <v/>
      </c>
      <c r="P274" s="13"/>
    </row>
    <row r="275" customFormat="false" ht="15" hidden="false" customHeight="false" outlineLevel="0" collapsed="false">
      <c r="A275" s="0" t="str">
        <f aca="false">IF(D275="","",ROW()-11)</f>
        <v/>
      </c>
      <c r="B275" s="13"/>
      <c r="C275" s="13"/>
      <c r="D275" s="13"/>
      <c r="E275" s="13"/>
      <c r="F275" s="13"/>
      <c r="G275" s="13"/>
      <c r="H275" s="13"/>
      <c r="I275" s="13"/>
      <c r="J275" s="14"/>
      <c r="K275" s="14"/>
      <c r="L275" s="14"/>
      <c r="M275" s="14"/>
      <c r="N275" s="14"/>
      <c r="O275" s="15" t="str">
        <f aca="false">IFERROR(N275/K275,"")</f>
        <v/>
      </c>
      <c r="P275" s="13"/>
    </row>
    <row r="276" customFormat="false" ht="15" hidden="false" customHeight="false" outlineLevel="0" collapsed="false">
      <c r="A276" s="0" t="str">
        <f aca="false">IF(D276="","",ROW()-11)</f>
        <v/>
      </c>
      <c r="B276" s="13"/>
      <c r="C276" s="13"/>
      <c r="D276" s="13"/>
      <c r="E276" s="13"/>
      <c r="F276" s="13"/>
      <c r="G276" s="13"/>
      <c r="H276" s="13"/>
      <c r="I276" s="13"/>
      <c r="J276" s="14"/>
      <c r="K276" s="14"/>
      <c r="L276" s="14"/>
      <c r="M276" s="14"/>
      <c r="N276" s="14"/>
      <c r="O276" s="15" t="str">
        <f aca="false">IFERROR(N276/K276,"")</f>
        <v/>
      </c>
      <c r="P276" s="13"/>
    </row>
    <row r="277" customFormat="false" ht="15" hidden="false" customHeight="false" outlineLevel="0" collapsed="false">
      <c r="A277" s="0" t="str">
        <f aca="false">IF(D277="","",ROW()-11)</f>
        <v/>
      </c>
      <c r="B277" s="13"/>
      <c r="C277" s="13"/>
      <c r="D277" s="13"/>
      <c r="E277" s="13"/>
      <c r="F277" s="13"/>
      <c r="G277" s="13"/>
      <c r="H277" s="13"/>
      <c r="I277" s="13"/>
      <c r="J277" s="14"/>
      <c r="K277" s="14"/>
      <c r="L277" s="14"/>
      <c r="M277" s="14"/>
      <c r="N277" s="14"/>
      <c r="O277" s="15" t="str">
        <f aca="false">IFERROR(N277/K277,"")</f>
        <v/>
      </c>
      <c r="P277" s="13"/>
    </row>
    <row r="278" customFormat="false" ht="15" hidden="false" customHeight="false" outlineLevel="0" collapsed="false">
      <c r="A278" s="0" t="str">
        <f aca="false">IF(D278="","",ROW()-11)</f>
        <v/>
      </c>
      <c r="B278" s="13"/>
      <c r="C278" s="13"/>
      <c r="D278" s="13"/>
      <c r="E278" s="13"/>
      <c r="F278" s="13"/>
      <c r="G278" s="13"/>
      <c r="H278" s="13"/>
      <c r="I278" s="13"/>
      <c r="J278" s="14"/>
      <c r="K278" s="14"/>
      <c r="L278" s="14"/>
      <c r="M278" s="14"/>
      <c r="N278" s="14"/>
      <c r="O278" s="15" t="str">
        <f aca="false">IFERROR(N278/K278,"")</f>
        <v/>
      </c>
      <c r="P278" s="13"/>
    </row>
    <row r="279" customFormat="false" ht="15" hidden="false" customHeight="false" outlineLevel="0" collapsed="false">
      <c r="A279" s="0" t="str">
        <f aca="false">IF(D279="","",ROW()-11)</f>
        <v/>
      </c>
      <c r="B279" s="13"/>
      <c r="C279" s="13"/>
      <c r="D279" s="13"/>
      <c r="E279" s="13"/>
      <c r="F279" s="13"/>
      <c r="G279" s="13"/>
      <c r="H279" s="13"/>
      <c r="I279" s="13"/>
      <c r="J279" s="14"/>
      <c r="K279" s="14"/>
      <c r="L279" s="14"/>
      <c r="M279" s="14"/>
      <c r="N279" s="14"/>
      <c r="O279" s="15" t="str">
        <f aca="false">IFERROR(N279/K279,"")</f>
        <v/>
      </c>
      <c r="P279" s="13"/>
    </row>
    <row r="280" customFormat="false" ht="15" hidden="false" customHeight="false" outlineLevel="0" collapsed="false">
      <c r="A280" s="0" t="str">
        <f aca="false">IF(D280="","",ROW()-11)</f>
        <v/>
      </c>
      <c r="B280" s="13"/>
      <c r="C280" s="13"/>
      <c r="D280" s="13"/>
      <c r="E280" s="13"/>
      <c r="F280" s="13"/>
      <c r="G280" s="13"/>
      <c r="H280" s="13"/>
      <c r="I280" s="13"/>
      <c r="J280" s="14"/>
      <c r="K280" s="14"/>
      <c r="L280" s="14"/>
      <c r="M280" s="14"/>
      <c r="N280" s="14"/>
      <c r="O280" s="15" t="str">
        <f aca="false">IFERROR(N280/K280,"")</f>
        <v/>
      </c>
      <c r="P280" s="13"/>
    </row>
    <row r="281" customFormat="false" ht="15" hidden="false" customHeight="false" outlineLevel="0" collapsed="false">
      <c r="A281" s="0" t="str">
        <f aca="false">IF(D281="","",ROW()-11)</f>
        <v/>
      </c>
      <c r="B281" s="13"/>
      <c r="C281" s="13"/>
      <c r="D281" s="13"/>
      <c r="E281" s="13"/>
      <c r="F281" s="13"/>
      <c r="G281" s="13"/>
      <c r="H281" s="13"/>
      <c r="I281" s="13"/>
      <c r="J281" s="14"/>
      <c r="K281" s="14"/>
      <c r="L281" s="14"/>
      <c r="M281" s="14"/>
      <c r="N281" s="14"/>
      <c r="O281" s="15" t="str">
        <f aca="false">IFERROR(N281/K281,"")</f>
        <v/>
      </c>
      <c r="P281" s="13"/>
    </row>
    <row r="282" customFormat="false" ht="15" hidden="false" customHeight="false" outlineLevel="0" collapsed="false">
      <c r="A282" s="0" t="str">
        <f aca="false">IF(D282="","",ROW()-11)</f>
        <v/>
      </c>
      <c r="B282" s="13"/>
      <c r="C282" s="13"/>
      <c r="D282" s="13"/>
      <c r="E282" s="13"/>
      <c r="F282" s="13"/>
      <c r="G282" s="13"/>
      <c r="H282" s="13"/>
      <c r="I282" s="13"/>
      <c r="J282" s="14"/>
      <c r="K282" s="14"/>
      <c r="L282" s="14"/>
      <c r="M282" s="14"/>
      <c r="N282" s="14"/>
      <c r="O282" s="15" t="str">
        <f aca="false">IFERROR(N282/K282,"")</f>
        <v/>
      </c>
      <c r="P282" s="13"/>
    </row>
    <row r="283" customFormat="false" ht="15" hidden="false" customHeight="false" outlineLevel="0" collapsed="false">
      <c r="A283" s="0" t="str">
        <f aca="false">IF(D283="","",ROW()-11)</f>
        <v/>
      </c>
      <c r="B283" s="13"/>
      <c r="C283" s="13"/>
      <c r="D283" s="13"/>
      <c r="E283" s="13"/>
      <c r="F283" s="13"/>
      <c r="G283" s="13"/>
      <c r="H283" s="13"/>
      <c r="I283" s="13"/>
      <c r="J283" s="14"/>
      <c r="K283" s="14"/>
      <c r="L283" s="14"/>
      <c r="M283" s="14"/>
      <c r="N283" s="14"/>
      <c r="O283" s="15" t="str">
        <f aca="false">IFERROR(N283/K283,"")</f>
        <v/>
      </c>
      <c r="P283" s="13"/>
    </row>
    <row r="284" customFormat="false" ht="15" hidden="false" customHeight="false" outlineLevel="0" collapsed="false">
      <c r="A284" s="0" t="str">
        <f aca="false">IF(D284="","",ROW()-11)</f>
        <v/>
      </c>
      <c r="B284" s="13"/>
      <c r="C284" s="13"/>
      <c r="D284" s="13"/>
      <c r="E284" s="13"/>
      <c r="F284" s="13"/>
      <c r="G284" s="13"/>
      <c r="H284" s="13"/>
      <c r="I284" s="13"/>
      <c r="J284" s="14"/>
      <c r="K284" s="14"/>
      <c r="L284" s="14"/>
      <c r="M284" s="14"/>
      <c r="N284" s="14"/>
      <c r="O284" s="15" t="str">
        <f aca="false">IFERROR(N284/K284,"")</f>
        <v/>
      </c>
      <c r="P284" s="13"/>
    </row>
    <row r="285" customFormat="false" ht="15" hidden="false" customHeight="false" outlineLevel="0" collapsed="false">
      <c r="A285" s="0" t="str">
        <f aca="false">IF(D285="","",ROW()-11)</f>
        <v/>
      </c>
      <c r="B285" s="13"/>
      <c r="C285" s="13"/>
      <c r="D285" s="13"/>
      <c r="E285" s="13"/>
      <c r="F285" s="13"/>
      <c r="G285" s="13"/>
      <c r="H285" s="13"/>
      <c r="I285" s="13"/>
      <c r="J285" s="14"/>
      <c r="K285" s="14"/>
      <c r="L285" s="14"/>
      <c r="M285" s="14"/>
      <c r="N285" s="14"/>
      <c r="O285" s="15" t="str">
        <f aca="false">IFERROR(N285/K285,"")</f>
        <v/>
      </c>
      <c r="P285" s="13"/>
    </row>
    <row r="286" customFormat="false" ht="15" hidden="false" customHeight="false" outlineLevel="0" collapsed="false">
      <c r="A286" s="0" t="str">
        <f aca="false">IF(D286="","",ROW()-11)</f>
        <v/>
      </c>
      <c r="B286" s="13"/>
      <c r="C286" s="13"/>
      <c r="D286" s="13"/>
      <c r="E286" s="13"/>
      <c r="F286" s="13"/>
      <c r="G286" s="13"/>
      <c r="H286" s="13"/>
      <c r="I286" s="13"/>
      <c r="J286" s="14"/>
      <c r="K286" s="14"/>
      <c r="L286" s="14"/>
      <c r="M286" s="14"/>
      <c r="N286" s="14"/>
      <c r="O286" s="15" t="str">
        <f aca="false">IFERROR(N286/K286,"")</f>
        <v/>
      </c>
      <c r="P286" s="13"/>
    </row>
    <row r="287" customFormat="false" ht="15" hidden="false" customHeight="false" outlineLevel="0" collapsed="false">
      <c r="A287" s="0" t="str">
        <f aca="false">IF(D287="","",ROW()-11)</f>
        <v/>
      </c>
      <c r="B287" s="13"/>
      <c r="C287" s="13"/>
      <c r="D287" s="13"/>
      <c r="E287" s="13"/>
      <c r="F287" s="13"/>
      <c r="G287" s="13"/>
      <c r="H287" s="13"/>
      <c r="I287" s="13"/>
      <c r="J287" s="14"/>
      <c r="K287" s="14"/>
      <c r="L287" s="14"/>
      <c r="M287" s="14"/>
      <c r="N287" s="14"/>
      <c r="O287" s="15" t="str">
        <f aca="false">IFERROR(N287/K287,"")</f>
        <v/>
      </c>
      <c r="P287" s="13"/>
    </row>
    <row r="288" customFormat="false" ht="15" hidden="false" customHeight="false" outlineLevel="0" collapsed="false">
      <c r="A288" s="0" t="str">
        <f aca="false">IF(D288="","",ROW()-11)</f>
        <v/>
      </c>
      <c r="B288" s="13"/>
      <c r="C288" s="13"/>
      <c r="D288" s="13"/>
      <c r="E288" s="13"/>
      <c r="F288" s="13"/>
      <c r="G288" s="13"/>
      <c r="H288" s="13"/>
      <c r="I288" s="13"/>
      <c r="J288" s="14"/>
      <c r="K288" s="14"/>
      <c r="L288" s="14"/>
      <c r="M288" s="14"/>
      <c r="N288" s="14"/>
      <c r="O288" s="15" t="str">
        <f aca="false">IFERROR(N288/K288,"")</f>
        <v/>
      </c>
      <c r="P288" s="13"/>
    </row>
    <row r="289" customFormat="false" ht="15" hidden="false" customHeight="false" outlineLevel="0" collapsed="false">
      <c r="A289" s="0" t="str">
        <f aca="false">IF(D289="","",ROW()-11)</f>
        <v/>
      </c>
      <c r="B289" s="13"/>
      <c r="C289" s="13"/>
      <c r="D289" s="13"/>
      <c r="E289" s="13"/>
      <c r="F289" s="13"/>
      <c r="G289" s="13"/>
      <c r="H289" s="13"/>
      <c r="I289" s="13"/>
      <c r="J289" s="14"/>
      <c r="K289" s="14"/>
      <c r="L289" s="14"/>
      <c r="M289" s="14"/>
      <c r="N289" s="14"/>
      <c r="O289" s="15" t="str">
        <f aca="false">IFERROR(N289/K289,"")</f>
        <v/>
      </c>
      <c r="P289" s="13"/>
    </row>
    <row r="290" customFormat="false" ht="15" hidden="false" customHeight="false" outlineLevel="0" collapsed="false">
      <c r="A290" s="0" t="str">
        <f aca="false">IF(D290="","",ROW()-11)</f>
        <v/>
      </c>
      <c r="B290" s="13"/>
      <c r="C290" s="13"/>
      <c r="D290" s="13"/>
      <c r="E290" s="13"/>
      <c r="F290" s="13"/>
      <c r="G290" s="13"/>
      <c r="H290" s="13"/>
      <c r="I290" s="13"/>
      <c r="J290" s="14"/>
      <c r="K290" s="14"/>
      <c r="L290" s="14"/>
      <c r="M290" s="14"/>
      <c r="N290" s="14"/>
      <c r="O290" s="15" t="str">
        <f aca="false">IFERROR(N290/K290,"")</f>
        <v/>
      </c>
      <c r="P290" s="13"/>
    </row>
    <row r="291" customFormat="false" ht="15" hidden="false" customHeight="false" outlineLevel="0" collapsed="false">
      <c r="A291" s="0" t="str">
        <f aca="false">IF(D291="","",ROW()-11)</f>
        <v/>
      </c>
      <c r="B291" s="13"/>
      <c r="C291" s="13"/>
      <c r="D291" s="13"/>
      <c r="E291" s="13"/>
      <c r="F291" s="13"/>
      <c r="G291" s="13"/>
      <c r="H291" s="13"/>
      <c r="I291" s="13"/>
      <c r="J291" s="14"/>
      <c r="K291" s="14"/>
      <c r="L291" s="14"/>
      <c r="M291" s="14"/>
      <c r="N291" s="14"/>
      <c r="O291" s="15" t="str">
        <f aca="false">IFERROR(N291/K291,"")</f>
        <v/>
      </c>
      <c r="P291" s="13"/>
    </row>
    <row r="292" customFormat="false" ht="15" hidden="false" customHeight="false" outlineLevel="0" collapsed="false">
      <c r="A292" s="0" t="str">
        <f aca="false">IF(D292="","",ROW()-11)</f>
        <v/>
      </c>
      <c r="B292" s="13"/>
      <c r="C292" s="13"/>
      <c r="D292" s="13"/>
      <c r="E292" s="13"/>
      <c r="F292" s="13"/>
      <c r="G292" s="13"/>
      <c r="H292" s="13"/>
      <c r="I292" s="13"/>
      <c r="J292" s="14"/>
      <c r="K292" s="14"/>
      <c r="L292" s="14"/>
      <c r="M292" s="14"/>
      <c r="N292" s="14"/>
      <c r="O292" s="15" t="str">
        <f aca="false">IFERROR(N292/K292,"")</f>
        <v/>
      </c>
      <c r="P292" s="13"/>
    </row>
    <row r="293" customFormat="false" ht="15" hidden="false" customHeight="false" outlineLevel="0" collapsed="false">
      <c r="A293" s="0" t="str">
        <f aca="false">IF(D293="","",ROW()-11)</f>
        <v/>
      </c>
      <c r="B293" s="13"/>
      <c r="C293" s="13"/>
      <c r="D293" s="13"/>
      <c r="E293" s="13"/>
      <c r="F293" s="13"/>
      <c r="G293" s="13"/>
      <c r="H293" s="13"/>
      <c r="I293" s="13"/>
      <c r="J293" s="14"/>
      <c r="K293" s="14"/>
      <c r="L293" s="14"/>
      <c r="M293" s="14"/>
      <c r="N293" s="14"/>
      <c r="O293" s="15" t="str">
        <f aca="false">IFERROR(N293/K293,"")</f>
        <v/>
      </c>
      <c r="P293" s="13"/>
    </row>
    <row r="294" customFormat="false" ht="15" hidden="false" customHeight="false" outlineLevel="0" collapsed="false">
      <c r="A294" s="0" t="str">
        <f aca="false">IF(D294="","",ROW()-11)</f>
        <v/>
      </c>
      <c r="B294" s="13"/>
      <c r="C294" s="13"/>
      <c r="D294" s="13"/>
      <c r="E294" s="13"/>
      <c r="F294" s="13"/>
      <c r="G294" s="13"/>
      <c r="H294" s="13"/>
      <c r="I294" s="13"/>
      <c r="J294" s="14"/>
      <c r="K294" s="14"/>
      <c r="L294" s="14"/>
      <c r="M294" s="14"/>
      <c r="N294" s="14"/>
      <c r="O294" s="15" t="str">
        <f aca="false">IFERROR(N294/K294,"")</f>
        <v/>
      </c>
      <c r="P294" s="13"/>
    </row>
    <row r="295" customFormat="false" ht="15" hidden="false" customHeight="false" outlineLevel="0" collapsed="false">
      <c r="A295" s="0" t="str">
        <f aca="false">IF(D295="","",ROW()-11)</f>
        <v/>
      </c>
      <c r="B295" s="13"/>
      <c r="C295" s="13"/>
      <c r="D295" s="13"/>
      <c r="E295" s="13"/>
      <c r="F295" s="13"/>
      <c r="G295" s="13"/>
      <c r="H295" s="13"/>
      <c r="I295" s="13"/>
      <c r="J295" s="14"/>
      <c r="K295" s="14"/>
      <c r="L295" s="14"/>
      <c r="M295" s="14"/>
      <c r="N295" s="14"/>
      <c r="O295" s="15" t="str">
        <f aca="false">IFERROR(N295/K295,"")</f>
        <v/>
      </c>
      <c r="P295" s="13"/>
    </row>
    <row r="296" customFormat="false" ht="15" hidden="false" customHeight="false" outlineLevel="0" collapsed="false">
      <c r="A296" s="0" t="str">
        <f aca="false">IF(D296="","",ROW()-11)</f>
        <v/>
      </c>
      <c r="B296" s="13"/>
      <c r="C296" s="13"/>
      <c r="D296" s="13"/>
      <c r="E296" s="13"/>
      <c r="F296" s="13"/>
      <c r="G296" s="13"/>
      <c r="H296" s="13"/>
      <c r="I296" s="13"/>
      <c r="J296" s="14"/>
      <c r="K296" s="14"/>
      <c r="L296" s="14"/>
      <c r="M296" s="14"/>
      <c r="N296" s="14"/>
      <c r="O296" s="15" t="str">
        <f aca="false">IFERROR(N296/K296,"")</f>
        <v/>
      </c>
      <c r="P296" s="13"/>
    </row>
    <row r="297" customFormat="false" ht="15" hidden="false" customHeight="false" outlineLevel="0" collapsed="false">
      <c r="A297" s="0" t="str">
        <f aca="false">IF(D297="","",ROW()-11)</f>
        <v/>
      </c>
      <c r="B297" s="13"/>
      <c r="C297" s="13"/>
      <c r="D297" s="13"/>
      <c r="E297" s="13"/>
      <c r="F297" s="13"/>
      <c r="G297" s="13"/>
      <c r="H297" s="13"/>
      <c r="I297" s="13"/>
      <c r="J297" s="14"/>
      <c r="K297" s="14"/>
      <c r="L297" s="14"/>
      <c r="M297" s="14"/>
      <c r="N297" s="14"/>
      <c r="O297" s="15" t="str">
        <f aca="false">IFERROR(N297/K297,"")</f>
        <v/>
      </c>
      <c r="P297" s="13"/>
    </row>
    <row r="298" customFormat="false" ht="15" hidden="false" customHeight="false" outlineLevel="0" collapsed="false">
      <c r="A298" s="0" t="str">
        <f aca="false">IF(D298="","",ROW()-11)</f>
        <v/>
      </c>
      <c r="B298" s="13"/>
      <c r="C298" s="13"/>
      <c r="D298" s="13"/>
      <c r="E298" s="13"/>
      <c r="F298" s="13"/>
      <c r="G298" s="13"/>
      <c r="H298" s="13"/>
      <c r="I298" s="13"/>
      <c r="J298" s="14"/>
      <c r="K298" s="14"/>
      <c r="L298" s="14"/>
      <c r="M298" s="14"/>
      <c r="N298" s="14"/>
      <c r="O298" s="15" t="str">
        <f aca="false">IFERROR(N298/K298,"")</f>
        <v/>
      </c>
      <c r="P298" s="13"/>
    </row>
    <row r="299" customFormat="false" ht="15" hidden="false" customHeight="false" outlineLevel="0" collapsed="false">
      <c r="A299" s="0" t="str">
        <f aca="false">IF(D299="","",ROW()-11)</f>
        <v/>
      </c>
      <c r="B299" s="13"/>
      <c r="C299" s="13"/>
      <c r="D299" s="13"/>
      <c r="E299" s="13"/>
      <c r="F299" s="13"/>
      <c r="G299" s="13"/>
      <c r="H299" s="13"/>
      <c r="I299" s="13"/>
      <c r="J299" s="14"/>
      <c r="K299" s="14"/>
      <c r="L299" s="14"/>
      <c r="M299" s="14"/>
      <c r="N299" s="14"/>
      <c r="O299" s="15" t="str">
        <f aca="false">IFERROR(N299/K299,"")</f>
        <v/>
      </c>
      <c r="P299" s="13"/>
    </row>
    <row r="300" customFormat="false" ht="15" hidden="false" customHeight="false" outlineLevel="0" collapsed="false">
      <c r="A300" s="0" t="str">
        <f aca="false">IF(D300="","",ROW()-11)</f>
        <v/>
      </c>
      <c r="B300" s="13"/>
      <c r="C300" s="13"/>
      <c r="D300" s="13"/>
      <c r="E300" s="13"/>
      <c r="F300" s="13"/>
      <c r="G300" s="13"/>
      <c r="H300" s="13"/>
      <c r="I300" s="13"/>
      <c r="J300" s="14"/>
      <c r="K300" s="14"/>
      <c r="L300" s="14"/>
      <c r="M300" s="14"/>
      <c r="N300" s="14"/>
      <c r="O300" s="15" t="str">
        <f aca="false">IFERROR(N300/K300,"")</f>
        <v/>
      </c>
      <c r="P300" s="13"/>
    </row>
    <row r="301" customFormat="false" ht="15" hidden="false" customHeight="false" outlineLevel="0" collapsed="false">
      <c r="A301" s="0" t="str">
        <f aca="false">IF(D301="","",ROW()-11)</f>
        <v/>
      </c>
      <c r="B301" s="13"/>
      <c r="C301" s="13"/>
      <c r="D301" s="13"/>
      <c r="E301" s="13"/>
      <c r="F301" s="13"/>
      <c r="G301" s="13"/>
      <c r="H301" s="13"/>
      <c r="I301" s="13"/>
      <c r="J301" s="14"/>
      <c r="K301" s="14"/>
      <c r="L301" s="14"/>
      <c r="M301" s="14"/>
      <c r="N301" s="14"/>
      <c r="O301" s="15" t="str">
        <f aca="false">IFERROR(N301/K301,"")</f>
        <v/>
      </c>
      <c r="P301" s="13"/>
    </row>
    <row r="302" customFormat="false" ht="15" hidden="false" customHeight="false" outlineLevel="0" collapsed="false">
      <c r="A302" s="0" t="str">
        <f aca="false">IF(D302="","",ROW()-11)</f>
        <v/>
      </c>
      <c r="B302" s="13"/>
      <c r="C302" s="13"/>
      <c r="D302" s="13"/>
      <c r="E302" s="13"/>
      <c r="F302" s="13"/>
      <c r="G302" s="13"/>
      <c r="H302" s="13"/>
      <c r="I302" s="13"/>
      <c r="J302" s="14"/>
      <c r="K302" s="14"/>
      <c r="L302" s="14"/>
      <c r="M302" s="14"/>
      <c r="N302" s="14"/>
      <c r="O302" s="15" t="str">
        <f aca="false">IFERROR(N302/K302,"")</f>
        <v/>
      </c>
      <c r="P302" s="13"/>
    </row>
    <row r="303" customFormat="false" ht="15" hidden="false" customHeight="false" outlineLevel="0" collapsed="false">
      <c r="A303" s="0" t="str">
        <f aca="false">IF(D303="","",ROW()-11)</f>
        <v/>
      </c>
      <c r="B303" s="13"/>
      <c r="C303" s="13"/>
      <c r="D303" s="13"/>
      <c r="E303" s="13"/>
      <c r="F303" s="13"/>
      <c r="G303" s="13"/>
      <c r="H303" s="13"/>
      <c r="I303" s="13"/>
      <c r="J303" s="14"/>
      <c r="K303" s="14"/>
      <c r="L303" s="14"/>
      <c r="M303" s="14"/>
      <c r="N303" s="14"/>
      <c r="O303" s="15" t="str">
        <f aca="false">IFERROR(N303/K303,"")</f>
        <v/>
      </c>
      <c r="P303" s="13"/>
    </row>
    <row r="304" customFormat="false" ht="15" hidden="false" customHeight="false" outlineLevel="0" collapsed="false">
      <c r="A304" s="0" t="str">
        <f aca="false">IF(D304="","",ROW()-11)</f>
        <v/>
      </c>
      <c r="B304" s="13"/>
      <c r="C304" s="13"/>
      <c r="D304" s="13"/>
      <c r="E304" s="13"/>
      <c r="F304" s="13"/>
      <c r="G304" s="13"/>
      <c r="H304" s="13"/>
      <c r="I304" s="13"/>
      <c r="J304" s="14"/>
      <c r="K304" s="14"/>
      <c r="L304" s="14"/>
      <c r="M304" s="14"/>
      <c r="N304" s="14"/>
      <c r="O304" s="15" t="str">
        <f aca="false">IFERROR(N304/K304,"")</f>
        <v/>
      </c>
      <c r="P304" s="13"/>
    </row>
    <row r="305" customFormat="false" ht="15" hidden="false" customHeight="false" outlineLevel="0" collapsed="false">
      <c r="A305" s="0" t="str">
        <f aca="false">IF(D305="","",ROW()-11)</f>
        <v/>
      </c>
      <c r="B305" s="13"/>
      <c r="C305" s="13"/>
      <c r="D305" s="13"/>
      <c r="E305" s="13"/>
      <c r="F305" s="13"/>
      <c r="G305" s="13"/>
      <c r="H305" s="13"/>
      <c r="I305" s="13"/>
      <c r="J305" s="14"/>
      <c r="K305" s="14"/>
      <c r="L305" s="14"/>
      <c r="M305" s="14"/>
      <c r="N305" s="14"/>
      <c r="O305" s="15" t="str">
        <f aca="false">IFERROR(N305/K305,"")</f>
        <v/>
      </c>
      <c r="P305" s="13"/>
    </row>
    <row r="306" customFormat="false" ht="15" hidden="false" customHeight="false" outlineLevel="0" collapsed="false">
      <c r="A306" s="0" t="str">
        <f aca="false">IF(D306="","",ROW()-11)</f>
        <v/>
      </c>
      <c r="B306" s="13"/>
      <c r="C306" s="13"/>
      <c r="D306" s="13"/>
      <c r="E306" s="13"/>
      <c r="F306" s="13"/>
      <c r="G306" s="13"/>
      <c r="H306" s="13"/>
      <c r="I306" s="13"/>
      <c r="J306" s="14"/>
      <c r="K306" s="14"/>
      <c r="L306" s="14"/>
      <c r="M306" s="14"/>
      <c r="N306" s="14"/>
      <c r="O306" s="15" t="str">
        <f aca="false">IFERROR(N306/K306,"")</f>
        <v/>
      </c>
      <c r="P306" s="13"/>
    </row>
    <row r="307" customFormat="false" ht="15" hidden="false" customHeight="false" outlineLevel="0" collapsed="false">
      <c r="A307" s="0" t="str">
        <f aca="false">IF(D307="","",ROW()-11)</f>
        <v/>
      </c>
      <c r="B307" s="13"/>
      <c r="C307" s="13"/>
      <c r="D307" s="13"/>
      <c r="E307" s="13"/>
      <c r="F307" s="13"/>
      <c r="G307" s="13"/>
      <c r="H307" s="13"/>
      <c r="I307" s="13"/>
      <c r="J307" s="14"/>
      <c r="K307" s="14"/>
      <c r="L307" s="14"/>
      <c r="M307" s="14"/>
      <c r="N307" s="14"/>
      <c r="O307" s="15" t="str">
        <f aca="false">IFERROR(N307/K307,"")</f>
        <v/>
      </c>
      <c r="P307" s="13"/>
    </row>
    <row r="308" customFormat="false" ht="15" hidden="false" customHeight="false" outlineLevel="0" collapsed="false">
      <c r="A308" s="0" t="str">
        <f aca="false">IF(D308="","",ROW()-11)</f>
        <v/>
      </c>
      <c r="B308" s="13"/>
      <c r="C308" s="13"/>
      <c r="D308" s="13"/>
      <c r="E308" s="13"/>
      <c r="F308" s="13"/>
      <c r="G308" s="13"/>
      <c r="H308" s="13"/>
      <c r="I308" s="13"/>
      <c r="J308" s="14"/>
      <c r="K308" s="14"/>
      <c r="L308" s="14"/>
      <c r="M308" s="14"/>
      <c r="N308" s="14"/>
      <c r="O308" s="15" t="str">
        <f aca="false">IFERROR(N308/K308,"")</f>
        <v/>
      </c>
      <c r="P308" s="13"/>
    </row>
    <row r="309" customFormat="false" ht="15" hidden="false" customHeight="false" outlineLevel="0" collapsed="false">
      <c r="A309" s="0" t="str">
        <f aca="false">IF(D309="","",ROW()-11)</f>
        <v/>
      </c>
      <c r="B309" s="13"/>
      <c r="C309" s="13"/>
      <c r="D309" s="13"/>
      <c r="E309" s="13"/>
      <c r="F309" s="13"/>
      <c r="G309" s="13"/>
      <c r="H309" s="13"/>
      <c r="I309" s="13"/>
      <c r="J309" s="14"/>
      <c r="K309" s="14"/>
      <c r="L309" s="14"/>
      <c r="M309" s="14"/>
      <c r="N309" s="14"/>
      <c r="O309" s="15" t="str">
        <f aca="false">IFERROR(N309/K309,"")</f>
        <v/>
      </c>
      <c r="P309" s="13"/>
    </row>
    <row r="310" customFormat="false" ht="15" hidden="false" customHeight="false" outlineLevel="0" collapsed="false">
      <c r="A310" s="0" t="str">
        <f aca="false">IF(D310="","",ROW()-11)</f>
        <v/>
      </c>
      <c r="B310" s="13"/>
      <c r="C310" s="13"/>
      <c r="D310" s="13"/>
      <c r="E310" s="13"/>
      <c r="F310" s="13"/>
      <c r="G310" s="13"/>
      <c r="H310" s="13"/>
      <c r="I310" s="13"/>
      <c r="J310" s="14"/>
      <c r="K310" s="14"/>
      <c r="L310" s="14"/>
      <c r="M310" s="14"/>
      <c r="N310" s="14"/>
      <c r="O310" s="15" t="str">
        <f aca="false">IFERROR(N310/K310,"")</f>
        <v/>
      </c>
      <c r="P310" s="13"/>
    </row>
    <row r="311" customFormat="false" ht="15" hidden="false" customHeight="false" outlineLevel="0" collapsed="false">
      <c r="A311" s="0" t="str">
        <f aca="false">IF(D311="","",ROW()-11)</f>
        <v/>
      </c>
      <c r="B311" s="13"/>
      <c r="C311" s="13"/>
      <c r="D311" s="13"/>
      <c r="E311" s="13"/>
      <c r="F311" s="13"/>
      <c r="G311" s="13"/>
      <c r="H311" s="13"/>
      <c r="I311" s="13"/>
      <c r="J311" s="14"/>
      <c r="K311" s="14"/>
      <c r="L311" s="14"/>
      <c r="M311" s="14"/>
      <c r="N311" s="14"/>
      <c r="O311" s="15" t="str">
        <f aca="false">IFERROR(N311/K311,"")</f>
        <v/>
      </c>
      <c r="P311" s="13"/>
    </row>
  </sheetData>
  <mergeCells count="2">
    <mergeCell ref="A1:P1"/>
    <mergeCell ref="A2:P2"/>
  </mergeCells>
  <dataValidations count="7">
    <dataValidation allowBlank="true" error="Selecione um valor da lista." errorStyle="stop" errorTitle="Valor inválido" operator="between" prompt="Selecione: Ano" promptTitle="Ano" showDropDown="false" showErrorMessage="false" showInputMessage="false" sqref="B12:B311" type="list">
      <formula1>dim_Tempo!$B$4:$B$75</formula1>
      <formula2>0</formula2>
    </dataValidation>
    <dataValidation allowBlank="true" error="Selecione um valor da lista." errorStyle="stop" errorTitle="Valor inválido" operator="between" prompt="Selecione: Mês" promptTitle="Mês" showDropDown="false" showErrorMessage="false" showInputMessage="false" sqref="C12:C311" type="list">
      <formula1>dim_Tempo!$C$4:$C$15</formula1>
      <formula2>0</formula2>
    </dataValidation>
    <dataValidation allowBlank="true" error="Selecione um valor da lista." errorStyle="stop" errorTitle="Valor inválido" operator="between" prompt="Selecione: UPA" promptTitle="UPA" showDropDown="false" showErrorMessage="false" showInputMessage="false" sqref="D12:D311" type="list">
      <formula1>dim_UPA!$A$4:$A$6</formula1>
      <formula2>0</formula2>
    </dataValidation>
    <dataValidation allowBlank="true" error="Selecione um valor da lista." errorStyle="stop" errorTitle="Valor inválido" operator="between" prompt="Selecione: Fonte de Recurso" promptTitle="Fonte de Recurso" showDropDown="false" showErrorMessage="false" showInputMessage="false" sqref="E12:E311" type="list">
      <formula1>dim_Fonte_Recurso!$A$4:$A$7</formula1>
      <formula2>0</formula2>
    </dataValidation>
    <dataValidation allowBlank="true" error="Selecione um valor da lista." errorStyle="stop" errorTitle="Valor inválido" operator="between" prompt="Selecione: Bloco de Financiamento" promptTitle="Bloco de Financiamento" showDropDown="false" showErrorMessage="false" showInputMessage="false" sqref="F12:F311" type="list">
      <formula1>dim_Bloco_Financiamento!$A$4:$A$8</formula1>
      <formula2>0</formula2>
    </dataValidation>
    <dataValidation allowBlank="true" error="Selecione um valor da lista." errorStyle="stop" errorTitle="Valor inválido" operator="between" prompt="Selecione: Categoria de Despesa" promptTitle="Categoria de Despesa" showDropDown="false" showErrorMessage="false" showInputMessage="false" sqref="G12:G311" type="list">
      <formula1>dim_Categoria_Despesa!$A$4:$A$9</formula1>
      <formula2>0</formula2>
    </dataValidation>
    <dataValidation allowBlank="true" errorStyle="stop" operator="between" showDropDown="false" showErrorMessage="false" showInputMessage="false" sqref="H12:H311" type="list">
      <formula1>"Fundo a Fundo,Contrato de Gestão,Convênio,Emenda Parlamentar,Recurso Próprio,InvestSUS,Outro"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6"/>
  </cols>
  <sheetData>
    <row r="1" customFormat="false" ht="25.5" hidden="false" customHeight="true" outlineLevel="0" collapsed="false">
      <c r="A1" s="1" t="s">
        <v>322</v>
      </c>
      <c r="B1" s="1"/>
      <c r="C1" s="1"/>
      <c r="D1" s="1"/>
      <c r="E1" s="1"/>
      <c r="F1" s="1"/>
      <c r="G1" s="1"/>
      <c r="H1" s="1"/>
    </row>
    <row r="2" customFormat="false" ht="15.75" hidden="false" customHeight="true" outlineLevel="0" collapsed="false">
      <c r="A2" s="2" t="s">
        <v>323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16" t="s">
        <v>324</v>
      </c>
    </row>
    <row r="5" customFormat="false" ht="15" hidden="false" customHeight="false" outlineLevel="0" collapsed="false">
      <c r="A5" s="5" t="s">
        <v>204</v>
      </c>
      <c r="B5" s="5" t="s">
        <v>160</v>
      </c>
      <c r="C5" s="5" t="s">
        <v>155</v>
      </c>
      <c r="D5" s="5" t="s">
        <v>146</v>
      </c>
      <c r="E5" s="5" t="s">
        <v>325</v>
      </c>
    </row>
    <row r="6" customFormat="false" ht="15" hidden="false" customHeight="false" outlineLevel="0" collapsed="false">
      <c r="A6" s="17" t="n">
        <v>2021</v>
      </c>
      <c r="B6" s="18" t="n">
        <f aca="false">SUMPRODUCT(Fato_Repasses!$K$4:$K$311*(IFERROR(INDEX(dim_Fonte_Recurso!$B$4:$B$7,MATCH(Fato_Repasses!$E$4:$E$311,dim_Fonte_Recurso!$A$4:$A$7,0)),"")="Municipal")*(Fato_Repasses!$B$4:$B$311=2021))</f>
        <v>0</v>
      </c>
      <c r="C6" s="18" t="n">
        <f aca="false">SUMPRODUCT(Fato_Repasses!$K$4:$K$311*(IFERROR(INDEX(dim_Fonte_Recurso!$B$4:$B$7,MATCH(Fato_Repasses!$E$4:$E$311,dim_Fonte_Recurso!$A$4:$A$7,0)),"")="Estadual")*(Fato_Repasses!$B$4:$B$311=2021))</f>
        <v>0</v>
      </c>
      <c r="D6" s="18" t="n">
        <f aca="false">SUMPRODUCT(Fato_Repasses!$K$4:$K$311*(IFERROR(INDEX(dim_Fonte_Recurso!$B$4:$B$7,MATCH(Fato_Repasses!$E$4:$E$311,dim_Fonte_Recurso!$A$4:$A$7,0)),"")="Federal")*(Fato_Repasses!$B$4:$B$311=2021))</f>
        <v>0</v>
      </c>
      <c r="E6" s="18" t="n">
        <f aca="false">SUM(B6:D6)</f>
        <v>0</v>
      </c>
    </row>
    <row r="7" customFormat="false" ht="15" hidden="false" customHeight="false" outlineLevel="0" collapsed="false">
      <c r="A7" s="17" t="n">
        <v>2022</v>
      </c>
      <c r="B7" s="18" t="n">
        <f aca="false">SUMPRODUCT(Fato_Repasses!$K$4:$K$311*(IFERROR(INDEX(dim_Fonte_Recurso!$B$4:$B$7,MATCH(Fato_Repasses!$E$4:$E$311,dim_Fonte_Recurso!$A$4:$A$7,0)),"")="Municipal")*(Fato_Repasses!$B$4:$B$311=2022))</f>
        <v>0</v>
      </c>
      <c r="C7" s="18" t="n">
        <f aca="false">SUMPRODUCT(Fato_Repasses!$K$4:$K$311*(IFERROR(INDEX(dim_Fonte_Recurso!$B$4:$B$7,MATCH(Fato_Repasses!$E$4:$E$311,dim_Fonte_Recurso!$A$4:$A$7,0)),"")="Estadual")*(Fato_Repasses!$B$4:$B$311=2022))</f>
        <v>6662093.67</v>
      </c>
      <c r="D7" s="18" t="n">
        <f aca="false">SUMPRODUCT(Fato_Repasses!$K$4:$K$311*(IFERROR(INDEX(dim_Fonte_Recurso!$B$4:$B$7,MATCH(Fato_Repasses!$E$4:$E$311,dim_Fonte_Recurso!$A$4:$A$7,0)),"")="Federal")*(Fato_Repasses!$B$4:$B$311=2022))</f>
        <v>0</v>
      </c>
      <c r="E7" s="18" t="n">
        <f aca="false">SUM(B7:D7)</f>
        <v>6662093.67</v>
      </c>
    </row>
    <row r="8" customFormat="false" ht="15" hidden="false" customHeight="false" outlineLevel="0" collapsed="false">
      <c r="A8" s="17" t="n">
        <v>2023</v>
      </c>
      <c r="B8" s="18" t="n">
        <f aca="false">SUMPRODUCT(Fato_Repasses!$K$4:$K$311*(IFERROR(INDEX(dim_Fonte_Recurso!$B$4:$B$7,MATCH(Fato_Repasses!$E$4:$E$311,dim_Fonte_Recurso!$A$4:$A$7,0)),"")="Municipal")*(Fato_Repasses!$B$4:$B$311=2023))</f>
        <v>0</v>
      </c>
      <c r="C8" s="18" t="n">
        <f aca="false">SUMPRODUCT(Fato_Repasses!$K$4:$K$311*(IFERROR(INDEX(dim_Fonte_Recurso!$B$4:$B$7,MATCH(Fato_Repasses!$E$4:$E$311,dim_Fonte_Recurso!$A$4:$A$7,0)),"")="Estadual")*(Fato_Repasses!$B$4:$B$311=2023))</f>
        <v>2276447.93</v>
      </c>
      <c r="D8" s="18" t="n">
        <f aca="false">SUMPRODUCT(Fato_Repasses!$K$4:$K$311*(IFERROR(INDEX(dim_Fonte_Recurso!$B$4:$B$7,MATCH(Fato_Repasses!$E$4:$E$311,dim_Fonte_Recurso!$A$4:$A$7,0)),"")="Federal")*(Fato_Repasses!$B$4:$B$311=2023))</f>
        <v>0</v>
      </c>
      <c r="E8" s="18" t="n">
        <f aca="false">SUM(B8:D8)</f>
        <v>2276447.93</v>
      </c>
    </row>
    <row r="9" customFormat="false" ht="15" hidden="false" customHeight="false" outlineLevel="0" collapsed="false">
      <c r="A9" s="17" t="n">
        <v>2024</v>
      </c>
      <c r="B9" s="18" t="n">
        <f aca="false">SUMPRODUCT(Fato_Repasses!$K$4:$K$311*(IFERROR(INDEX(dim_Fonte_Recurso!$B$4:$B$7,MATCH(Fato_Repasses!$E$4:$E$311,dim_Fonte_Recurso!$A$4:$A$7,0)),"")="Municipal")*(Fato_Repasses!$B$4:$B$311=2024))</f>
        <v>0</v>
      </c>
      <c r="C9" s="18" t="n">
        <f aca="false">SUMPRODUCT(Fato_Repasses!$K$4:$K$311*(IFERROR(INDEX(dim_Fonte_Recurso!$B$4:$B$7,MATCH(Fato_Repasses!$E$4:$E$311,dim_Fonte_Recurso!$A$4:$A$7,0)),"")="Estadual")*(Fato_Repasses!$B$4:$B$311=2024))</f>
        <v>0</v>
      </c>
      <c r="D9" s="18" t="n">
        <f aca="false">SUMPRODUCT(Fato_Repasses!$K$4:$K$311*(IFERROR(INDEX(dim_Fonte_Recurso!$B$4:$B$7,MATCH(Fato_Repasses!$E$4:$E$311,dim_Fonte_Recurso!$A$4:$A$7,0)),"")="Federal")*(Fato_Repasses!$B$4:$B$311=2024))</f>
        <v>0</v>
      </c>
      <c r="E9" s="18" t="n">
        <f aca="false">SUM(B9:D9)</f>
        <v>0</v>
      </c>
    </row>
    <row r="10" customFormat="false" ht="15" hidden="false" customHeight="false" outlineLevel="0" collapsed="false">
      <c r="A10" s="17" t="n">
        <v>2025</v>
      </c>
      <c r="B10" s="18" t="n">
        <f aca="false">SUMPRODUCT(Fato_Repasses!$K$4:$K$311*(IFERROR(INDEX(dim_Fonte_Recurso!$B$4:$B$7,MATCH(Fato_Repasses!$E$4:$E$311,dim_Fonte_Recurso!$A$4:$A$7,0)),"")="Municipal")*(Fato_Repasses!$B$4:$B$311=2025))</f>
        <v>0</v>
      </c>
      <c r="C10" s="18" t="n">
        <f aca="false">SUMPRODUCT(Fato_Repasses!$K$4:$K$311*(IFERROR(INDEX(dim_Fonte_Recurso!$B$4:$B$7,MATCH(Fato_Repasses!$E$4:$E$311,dim_Fonte_Recurso!$A$4:$A$7,0)),"")="Estadual")*(Fato_Repasses!$B$4:$B$311=2025))</f>
        <v>0</v>
      </c>
      <c r="D10" s="18" t="n">
        <f aca="false">SUMPRODUCT(Fato_Repasses!$K$4:$K$311*(IFERROR(INDEX(dim_Fonte_Recurso!$B$4:$B$7,MATCH(Fato_Repasses!$E$4:$E$311,dim_Fonte_Recurso!$A$4:$A$7,0)),"")="Federal")*(Fato_Repasses!$B$4:$B$311=2025))</f>
        <v>0</v>
      </c>
      <c r="E10" s="18" t="n">
        <f aca="false">SUM(B10:D10)</f>
        <v>0</v>
      </c>
    </row>
    <row r="11" customFormat="false" ht="15" hidden="false" customHeight="false" outlineLevel="0" collapsed="false">
      <c r="A11" s="17" t="n">
        <v>2026</v>
      </c>
      <c r="B11" s="18" t="n">
        <f aca="false">SUMPRODUCT(Fato_Repasses!$K$4:$K$311*(IFERROR(INDEX(dim_Fonte_Recurso!$B$4:$B$7,MATCH(Fato_Repasses!$E$4:$E$311,dim_Fonte_Recurso!$A$4:$A$7,0)),"")="Municipal")*(Fato_Repasses!$B$4:$B$311=2026))</f>
        <v>0</v>
      </c>
      <c r="C11" s="18" t="n">
        <f aca="false">SUMPRODUCT(Fato_Repasses!$K$4:$K$311*(IFERROR(INDEX(dim_Fonte_Recurso!$B$4:$B$7,MATCH(Fato_Repasses!$E$4:$E$311,dim_Fonte_Recurso!$A$4:$A$7,0)),"")="Estadual")*(Fato_Repasses!$B$4:$B$311=2026))</f>
        <v>0</v>
      </c>
      <c r="D11" s="18" t="n">
        <f aca="false">SUMPRODUCT(Fato_Repasses!$K$4:$K$311*(IFERROR(INDEX(dim_Fonte_Recurso!$B$4:$B$7,MATCH(Fato_Repasses!$E$4:$E$311,dim_Fonte_Recurso!$A$4:$A$7,0)),"")="Federal")*(Fato_Repasses!$B$4:$B$311=2026))</f>
        <v>0</v>
      </c>
      <c r="E11" s="18" t="n">
        <f aca="false">SUM(B11:D11)</f>
        <v>0</v>
      </c>
    </row>
    <row r="12" customFormat="false" ht="15" hidden="false" customHeight="false" outlineLevel="0" collapsed="false">
      <c r="A12" s="19" t="s">
        <v>326</v>
      </c>
      <c r="B12" s="20" t="n">
        <f aca="false">SUM(B6:B11)</f>
        <v>0</v>
      </c>
      <c r="C12" s="20" t="n">
        <f aca="false">SUM(C6:C11)</f>
        <v>8938541.6</v>
      </c>
      <c r="D12" s="20" t="n">
        <f aca="false">SUM(D6:D11)</f>
        <v>0</v>
      </c>
      <c r="E12" s="20" t="n">
        <f aca="false">SUM(E6:E11)</f>
        <v>8938541.6</v>
      </c>
    </row>
    <row r="15" customFormat="false" ht="15" hidden="false" customHeight="false" outlineLevel="0" collapsed="false">
      <c r="A15" s="16" t="s">
        <v>327</v>
      </c>
    </row>
    <row r="16" customFormat="false" ht="23.85" hidden="false" customHeight="false" outlineLevel="0" collapsed="false">
      <c r="A16" s="5" t="s">
        <v>328</v>
      </c>
      <c r="B16" s="5" t="s">
        <v>329</v>
      </c>
      <c r="C16" s="5" t="s">
        <v>330</v>
      </c>
      <c r="D16" s="5" t="s">
        <v>331</v>
      </c>
    </row>
    <row r="17" customFormat="false" ht="15" hidden="false" customHeight="false" outlineLevel="0" collapsed="false">
      <c r="A17" s="17" t="str">
        <f aca="false">IFERROR(INDEX(dim_UPA!$B$4:$B$6,1),"")</f>
        <v>UPA Feira de Santana (UPA 24h)</v>
      </c>
      <c r="B17" s="18" t="n">
        <f aca="false">SUMIF(Fato_Repasses!$D$4:$D$311,dim_UPA!$A$4,Fato_Repasses!$K$4:$K$311)</f>
        <v>8938541.6</v>
      </c>
      <c r="C17" s="18" t="n">
        <f aca="false">SUMIF(Fato_Repasses!$D$4:$D$311,dim_UPA!$A$4,Fato_Repasses!$N$4:$N$311)</f>
        <v>0</v>
      </c>
      <c r="D17" s="15" t="n">
        <f aca="false">IFERROR(C17/B17,"")</f>
        <v>0</v>
      </c>
    </row>
    <row r="18" customFormat="false" ht="15" hidden="false" customHeight="false" outlineLevel="0" collapsed="false">
      <c r="A18" s="17" t="str">
        <f aca="false">IFERROR(INDEX(dim_UPA!$B$4:$B$6,2),"")</f>
        <v>UPA Elisabete Dias Marques (UPA Queimadinha)</v>
      </c>
      <c r="B18" s="18" t="n">
        <f aca="false">SUMIF(Fato_Repasses!$D$4:$D$311,dim_UPA!$A$5,Fato_Repasses!$K$4:$K$311)</f>
        <v>0</v>
      </c>
      <c r="C18" s="18" t="n">
        <f aca="false">SUMIF(Fato_Repasses!$D$4:$D$311,dim_UPA!$A$5,Fato_Repasses!$N$4:$N$311)</f>
        <v>0</v>
      </c>
      <c r="D18" s="15" t="str">
        <f aca="false">IFERROR(C18/B18,"")</f>
        <v/>
      </c>
    </row>
    <row r="19" customFormat="false" ht="15" hidden="false" customHeight="false" outlineLevel="0" collapsed="false">
      <c r="A19" s="17" t="str">
        <f aca="false">IFERROR(INDEX(dim_UPA!$B$4:$B$6,3),"")</f>
        <v>3ª unidade cadastrada no CNES (nome a confirmar)</v>
      </c>
      <c r="B19" s="18" t="n">
        <f aca="false">SUMIF(Fato_Repasses!$D$4:$D$311,dim_UPA!$A$6,Fato_Repasses!$K$4:$K$311)</f>
        <v>0</v>
      </c>
      <c r="C19" s="18" t="n">
        <f aca="false">SUMIF(Fato_Repasses!$D$4:$D$311,dim_UPA!$A$6,Fato_Repasses!$N$4:$N$311)</f>
        <v>0</v>
      </c>
      <c r="D19" s="15" t="str">
        <f aca="false">IFERROR(C19/B19,"")</f>
        <v/>
      </c>
    </row>
    <row r="22" customFormat="false" ht="15" hidden="false" customHeight="false" outlineLevel="0" collapsed="false">
      <c r="A22" s="16" t="s">
        <v>332</v>
      </c>
    </row>
    <row r="23" customFormat="false" ht="15" hidden="false" customHeight="false" outlineLevel="0" collapsed="false">
      <c r="A23" s="5" t="s">
        <v>66</v>
      </c>
      <c r="B23" s="5" t="s">
        <v>333</v>
      </c>
      <c r="C23" s="5" t="s">
        <v>334</v>
      </c>
    </row>
    <row r="24" customFormat="false" ht="15" hidden="false" customHeight="false" outlineLevel="0" collapsed="false">
      <c r="A24" s="17" t="s">
        <v>160</v>
      </c>
      <c r="B24" s="18" t="n">
        <f aca="false">SUMPRODUCT(Fato_Repasses!$K$4:$K$311*(IFERROR(INDEX(dim_Fonte_Recurso!$B$4:$B$7,MATCH(Fato_Repasses!$E$4:$E$311,dim_Fonte_Recurso!$A$4:$A$7,0)),"")="Municipal"))</f>
        <v>0</v>
      </c>
      <c r="C24" s="15" t="n">
        <f aca="false">IFERROR(B24/SUM($B$24:$B$26),"")</f>
        <v>0</v>
      </c>
    </row>
    <row r="25" customFormat="false" ht="15" hidden="false" customHeight="false" outlineLevel="0" collapsed="false">
      <c r="A25" s="17" t="s">
        <v>155</v>
      </c>
      <c r="B25" s="18" t="n">
        <f aca="false">SUMPRODUCT(Fato_Repasses!$K$4:$K$311*(IFERROR(INDEX(dim_Fonte_Recurso!$B$4:$B$7,MATCH(Fato_Repasses!$E$4:$E$311,dim_Fonte_Recurso!$A$4:$A$7,0)),"")="Estadual"))</f>
        <v>8938541.6</v>
      </c>
      <c r="C25" s="15" t="n">
        <f aca="false">IFERROR(B25/SUM($B$25:$B$27),"")</f>
        <v>1</v>
      </c>
    </row>
    <row r="26" customFormat="false" ht="15" hidden="false" customHeight="false" outlineLevel="0" collapsed="false">
      <c r="A26" s="17" t="s">
        <v>146</v>
      </c>
      <c r="B26" s="18" t="n">
        <f aca="false">SUMPRODUCT(Fato_Repasses!$K$4:$K$311*(IFERROR(INDEX(dim_Fonte_Recurso!$B$4:$B$7,MATCH(Fato_Repasses!$E$4:$E$311,dim_Fonte_Recurso!$A$4:$A$7,0)),"")="Federal"))</f>
        <v>0</v>
      </c>
      <c r="C26" s="15" t="str">
        <f aca="false">IFERROR(B26/SUM($B$26:$B$28),"")</f>
        <v/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60"/>
    <col collapsed="false" customWidth="true" hidden="false" outlineLevel="0" max="3" min="3" style="0" width="20"/>
  </cols>
  <sheetData>
    <row r="1" customFormat="false" ht="25.5" hidden="false" customHeight="true" outlineLevel="0" collapsed="false">
      <c r="A1" s="1" t="s">
        <v>335</v>
      </c>
      <c r="B1" s="1"/>
      <c r="C1" s="1"/>
    </row>
    <row r="3" customFormat="false" ht="15" hidden="false" customHeight="false" outlineLevel="0" collapsed="false">
      <c r="A3" s="5" t="s">
        <v>336</v>
      </c>
      <c r="B3" s="5" t="s">
        <v>337</v>
      </c>
      <c r="C3" s="5" t="s">
        <v>338</v>
      </c>
    </row>
    <row r="4" customFormat="false" ht="33.75" hidden="false" customHeight="true" outlineLevel="0" collapsed="false">
      <c r="A4" s="6" t="s">
        <v>339</v>
      </c>
      <c r="B4" s="6" t="s">
        <v>340</v>
      </c>
      <c r="C4" s="6" t="s">
        <v>341</v>
      </c>
    </row>
    <row r="5" customFormat="false" ht="33.75" hidden="false" customHeight="true" outlineLevel="0" collapsed="false">
      <c r="A5" s="6" t="s">
        <v>342</v>
      </c>
      <c r="B5" s="6" t="s">
        <v>343</v>
      </c>
      <c r="C5" s="6" t="s">
        <v>344</v>
      </c>
    </row>
    <row r="6" customFormat="false" ht="33.75" hidden="false" customHeight="true" outlineLevel="0" collapsed="false">
      <c r="A6" s="6" t="s">
        <v>345</v>
      </c>
      <c r="B6" s="6" t="s">
        <v>346</v>
      </c>
      <c r="C6" s="6" t="s">
        <v>347</v>
      </c>
    </row>
    <row r="7" customFormat="false" ht="33.75" hidden="false" customHeight="true" outlineLevel="0" collapsed="false">
      <c r="A7" s="6" t="s">
        <v>348</v>
      </c>
      <c r="B7" s="6" t="s">
        <v>349</v>
      </c>
      <c r="C7" s="6" t="s">
        <v>350</v>
      </c>
    </row>
    <row r="8" customFormat="false" ht="33.75" hidden="false" customHeight="true" outlineLevel="0" collapsed="false">
      <c r="A8" s="6" t="s">
        <v>351</v>
      </c>
      <c r="B8" s="6" t="s">
        <v>352</v>
      </c>
      <c r="C8" s="6" t="s">
        <v>353</v>
      </c>
    </row>
    <row r="9" customFormat="false" ht="33.75" hidden="false" customHeight="true" outlineLevel="0" collapsed="false">
      <c r="A9" s="6" t="s">
        <v>354</v>
      </c>
      <c r="B9" s="6" t="s">
        <v>355</v>
      </c>
      <c r="C9" s="6" t="s">
        <v>356</v>
      </c>
    </row>
    <row r="10" customFormat="false" ht="33.75" hidden="false" customHeight="true" outlineLevel="0" collapsed="false">
      <c r="A10" s="6" t="s">
        <v>357</v>
      </c>
      <c r="B10" s="6" t="s">
        <v>358</v>
      </c>
      <c r="C10" s="6" t="s">
        <v>359</v>
      </c>
    </row>
    <row r="11" customFormat="false" ht="33.75" hidden="false" customHeight="true" outlineLevel="0" collapsed="false">
      <c r="A11" s="6" t="s">
        <v>360</v>
      </c>
      <c r="B11" s="6" t="s">
        <v>361</v>
      </c>
      <c r="C11" s="6" t="s">
        <v>362</v>
      </c>
    </row>
    <row r="12" customFormat="false" ht="33.75" hidden="false" customHeight="true" outlineLevel="0" collapsed="false">
      <c r="A12" s="6" t="s">
        <v>363</v>
      </c>
      <c r="B12" s="6" t="s">
        <v>364</v>
      </c>
      <c r="C12" s="6" t="s">
        <v>365</v>
      </c>
    </row>
    <row r="13" customFormat="false" ht="33.75" hidden="false" customHeight="true" outlineLevel="0" collapsed="false">
      <c r="A13" s="6" t="s">
        <v>366</v>
      </c>
      <c r="B13" s="6" t="s">
        <v>367</v>
      </c>
      <c r="C13" s="6" t="s">
        <v>368</v>
      </c>
    </row>
    <row r="14" customFormat="false" ht="33.75" hidden="false" customHeight="true" outlineLevel="0" collapsed="false">
      <c r="A14" s="6" t="s">
        <v>369</v>
      </c>
      <c r="B14" s="6" t="s">
        <v>370</v>
      </c>
      <c r="C14" s="6" t="s">
        <v>371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2026-08-13T18:38:29Z</dcterms:created>
  <dc:creator>openpyxl</dc:creator>
  <dc:description/>
  <dc:language>en-US</dc:language>
  <cp:lastModifiedBy/>
  <dcterms:modified xsi:type="dcterms:W3CDTF">2026-08-13T18:38:29Z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